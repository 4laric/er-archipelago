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ss-Drop (Tier 2)" sheetId="1" state="visible" r:id="rId3"/>
    <sheet name="Summary" sheetId="2" state="visible" r:id="rId4"/>
  </sheets>
  <definedNames>
    <definedName function="false" hidden="true" localSheetId="0" name="_xlnm._FilterDatabase" vbProcedure="false">'Boss-Drop (Tier 2)'!$A$1:$H$55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<sst xmlns="http://schemas.openxmlformats.org/spreadsheetml/2006/main" count="183" uniqueCount="111">
  <si>
    <t xml:space="preserve">Region</t>
  </si>
  <si>
    <t xml:space="preserve">Item</t>
  </si>
  <si>
    <t xml:space="preserve">Method</t>
  </si>
  <si>
    <t xml:space="preserve">getItemFlagId</t>
  </si>
  <si>
    <t xml:space="preserve">Reward Lot</t>
  </si>
  <si>
    <t xml:space="preserve">Boss Entity</t>
  </si>
  <si>
    <t xml:space="preserve">Keep? (Y/N)</t>
  </si>
  <si>
    <t xml:space="preserve">Notes</t>
  </si>
  <si>
    <t xml:space="preserve">Eternal Cities &amp; Underground Rivers</t>
  </si>
  <si>
    <t xml:space="preserve">Dragon Halberd</t>
  </si>
  <si>
    <t xml:space="preserve">emevd</t>
  </si>
  <si>
    <t xml:space="preserve">Dragonscale Blade</t>
  </si>
  <si>
    <t xml:space="preserve">Siluria's Tree</t>
  </si>
  <si>
    <t xml:space="preserve">Speckled Hardtear</t>
  </si>
  <si>
    <t xml:space="preserve">Global / Common-event (unplaced)</t>
  </si>
  <si>
    <t xml:space="preserve">Cerulean Hidden Tear</t>
  </si>
  <si>
    <t xml:space="preserve">global</t>
  </si>
  <si>
    <t xml:space="preserve">Crimsonspill Crystal Tear</t>
  </si>
  <si>
    <t xml:space="preserve">Flame-Shrouding Cracked Tear</t>
  </si>
  <si>
    <t xml:space="preserve">Holy-Shrouding Cracked Tear</t>
  </si>
  <si>
    <t xml:space="preserve">Lightning-Shrouding Cracked Tear</t>
  </si>
  <si>
    <t xml:space="preserve">Opaline Bubbletear</t>
  </si>
  <si>
    <t xml:space="preserve">Ruptured Crystal Tear</t>
  </si>
  <si>
    <t xml:space="preserve">Leyndell / Roundtable / Shunning-Grounds</t>
  </si>
  <si>
    <t xml:space="preserve">Bloodhound's Fang</t>
  </si>
  <si>
    <t xml:space="preserve">[Incantation] Aspects of the Crucible: Tail</t>
  </si>
  <si>
    <t xml:space="preserve">Overworld m60_44_32_00</t>
  </si>
  <si>
    <t xml:space="preserve">Ash of War: Barricade Shield</t>
  </si>
  <si>
    <t xml:space="preserve">Overworld m60_36_48_00</t>
  </si>
  <si>
    <t xml:space="preserve">Ash of War: Giant Hunt</t>
  </si>
  <si>
    <t xml:space="preserve">Overworld m60_39_43_00</t>
  </si>
  <si>
    <t xml:space="preserve">Ash of War: Ice Spear</t>
  </si>
  <si>
    <t xml:space="preserve">Overworld m60_43_37_00</t>
  </si>
  <si>
    <t xml:space="preserve">Ash of War: Repeating Thrust</t>
  </si>
  <si>
    <t xml:space="preserve">Overworld m60_39_51_00</t>
  </si>
  <si>
    <t xml:space="preserve">Ash of War: Shared Order</t>
  </si>
  <si>
    <t xml:space="preserve">Overworld m60_40_52_00</t>
  </si>
  <si>
    <t xml:space="preserve">Black Knife</t>
  </si>
  <si>
    <t xml:space="preserve">Overworld m60_33_42_00</t>
  </si>
  <si>
    <t xml:space="preserve">Black Knife Tiche</t>
  </si>
  <si>
    <t xml:space="preserve">Overworld m60_42_38_00</t>
  </si>
  <si>
    <t xml:space="preserve">Blue-Feathered Branchsword</t>
  </si>
  <si>
    <t xml:space="preserve">Bone Peddler's Bell Bearing</t>
  </si>
  <si>
    <t xml:space="preserve">Overworld m60_33_43_00</t>
  </si>
  <si>
    <t xml:space="preserve">Cerulean Crystal Tear</t>
  </si>
  <si>
    <t xml:space="preserve">Overworld m60_43_33_00</t>
  </si>
  <si>
    <t xml:space="preserve">Crimsonburst Crystal Tear</t>
  </si>
  <si>
    <t xml:space="preserve">Overworld m60_35_42_00</t>
  </si>
  <si>
    <t xml:space="preserve">Crucible Knot Talisman</t>
  </si>
  <si>
    <t xml:space="preserve">Overworld m60_38_52_00</t>
  </si>
  <si>
    <t xml:space="preserve">Deathroot</t>
  </si>
  <si>
    <t xml:space="preserve">Overworld m60_39_44_00</t>
  </si>
  <si>
    <t xml:space="preserve">Overworld m60_45_39_00</t>
  </si>
  <si>
    <t xml:space="preserve">Overworld m60_45_52_00</t>
  </si>
  <si>
    <t xml:space="preserve">Dragon Greatclaw</t>
  </si>
  <si>
    <t xml:space="preserve">Overworld m60_34_42_00</t>
  </si>
  <si>
    <t xml:space="preserve">Dragon Heart</t>
  </si>
  <si>
    <t xml:space="preserve">Overworld m60_34_45_00</t>
  </si>
  <si>
    <t xml:space="preserve">Overworld m60_35_53_00</t>
  </si>
  <si>
    <t xml:space="preserve">Overworld m60_43_36_00</t>
  </si>
  <si>
    <t xml:space="preserve">Overworld m60_48_37_00</t>
  </si>
  <si>
    <t xml:space="preserve">Overworld m60_42_55_00</t>
  </si>
  <si>
    <t xml:space="preserve">Godskin Peeler</t>
  </si>
  <si>
    <t xml:space="preserve">Overworld m60_35_45_00</t>
  </si>
  <si>
    <t xml:space="preserve">Golden Halberd</t>
  </si>
  <si>
    <t xml:space="preserve">Overworld m60_48_41_00</t>
  </si>
  <si>
    <t xml:space="preserve">Gravity Stone Peddler's Bell Bearing</t>
  </si>
  <si>
    <t xml:space="preserve">Overworld m60_47_40_00</t>
  </si>
  <si>
    <t xml:space="preserve">Greenburst Crystal Tear</t>
  </si>
  <si>
    <t xml:space="preserve">Overworld m60_37_54_00</t>
  </si>
  <si>
    <t xml:space="preserve">Leaden Hardtear</t>
  </si>
  <si>
    <t xml:space="preserve">Overworld m60_38_48_00</t>
  </si>
  <si>
    <t xml:space="preserve">Magic-Shrouding Cracked Tear</t>
  </si>
  <si>
    <t xml:space="preserve">Overworld m60_37_46_00</t>
  </si>
  <si>
    <t xml:space="preserve">Meat Peddler's Bell Bearing</t>
  </si>
  <si>
    <t xml:space="preserve">Overworld m60_43_53_00</t>
  </si>
  <si>
    <t xml:space="preserve">Medicine Peddler's Bell Bearing</t>
  </si>
  <si>
    <t xml:space="preserve">Overworld m60_37_53_00</t>
  </si>
  <si>
    <t xml:space="preserve">Memory Stone</t>
  </si>
  <si>
    <t xml:space="preserve">Overworld m60_42_33_00</t>
  </si>
  <si>
    <t xml:space="preserve">Radagon's Scarseal</t>
  </si>
  <si>
    <t xml:space="preserve">Overworld m60_37_42_00</t>
  </si>
  <si>
    <t xml:space="preserve">Red-Feathered Branchsword</t>
  </si>
  <si>
    <t xml:space="preserve">Sacrificial Axe</t>
  </si>
  <si>
    <t xml:space="preserve">Overworld m60_41_50_00</t>
  </si>
  <si>
    <t xml:space="preserve">Somber Smithing Stone [5]</t>
  </si>
  <si>
    <t xml:space="preserve">Overworld m60_36_54_00</t>
  </si>
  <si>
    <t xml:space="preserve">Somber Smithing Stone [6]</t>
  </si>
  <si>
    <t xml:space="preserve">Overworld m60_44_53_00</t>
  </si>
  <si>
    <t xml:space="preserve">Twinbird Kite Shield</t>
  </si>
  <si>
    <t xml:space="preserve">Overworld m60_38_41_00</t>
  </si>
  <si>
    <t xml:space="preserve">[Incantation] Flame of the Fell God</t>
  </si>
  <si>
    <t xml:space="preserve">Overworld m60_37_51_00</t>
  </si>
  <si>
    <t xml:space="preserve">[Incantation] Lansseax's Glaive</t>
  </si>
  <si>
    <t xml:space="preserve">Overworld m60_36_45_00</t>
  </si>
  <si>
    <t xml:space="preserve">[Sorcery] Ancient Death Rancor</t>
  </si>
  <si>
    <t xml:space="preserve">Overworld m60_33_45_00</t>
  </si>
  <si>
    <t xml:space="preserve">[Sorcery] Greatblade Phalanx</t>
  </si>
  <si>
    <t xml:space="preserve">Overworld m60_36_50_00</t>
  </si>
  <si>
    <t xml:space="preserve">[Sorcery] Meteorite</t>
  </si>
  <si>
    <t xml:space="preserve">Count</t>
  </si>
  <si>
    <t xml:space="preserve">Overworld (field boss)</t>
  </si>
  <si>
    <t xml:space="preserve">Global</t>
  </si>
  <si>
    <t xml:space="preserve">Eternal Cities</t>
  </si>
  <si>
    <t xml:space="preserve">Leyndell</t>
  </si>
  <si>
    <t xml:space="preserve">TOTAL</t>
  </si>
  <si>
    <t xml:space="preserve">Boss-healthbar enemy DROPS via EMEVD common boss-handlers (90005860/861/880):</t>
  </si>
  <si>
    <t xml:space="preserve">each hands the reward itemLotId + boss entity as InitializeCommonEvent args -&gt;</t>
  </si>
  <si>
    <t xml:space="preserve">ItemLotParam_map -&gt; getItemFlagId -&gt; region_map. Remembrance/great-rune majors excluded.</t>
  </si>
  <si>
    <t xml:space="preserve">Edge cases to eyeball: a few peddler Bell Bearings + crystal tears use the same banner</t>
  </si>
  <si>
    <t xml:space="preserve">handler (merchant/scarab, not a 'true' boss). Mark those N in Keep? and I'll add an exclude.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</si>
</sst>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2" t="s">
        <v>10</v>
      </c>
      <c r="D2" s="2" t="n">
        <v>530620</v>
      </c>
      <c r="E2" s="2" t="n">
        <v>30620</v>
      </c>
      <c r="F2" s="2" t="n">
        <v>12020830</v>
      </c>
      <c r="G2" s="2"/>
      <c r="H2" s="3"/>
    </row>
    <row r="3" customFormat="false" ht="15" hidden="false" customHeight="false" outlineLevel="0" collapsed="false">
      <c r="A3" s="2" t="s">
        <v>8</v>
      </c>
      <c r="B3" s="3" t="s">
        <v>11</v>
      </c>
      <c r="C3" s="2" t="s">
        <v>10</v>
      </c>
      <c r="D3" s="2" t="n">
        <v>530600</v>
      </c>
      <c r="E3" s="2" t="n">
        <v>30600</v>
      </c>
      <c r="F3" s="2" t="n">
        <v>12010850</v>
      </c>
      <c r="G3" s="2"/>
      <c r="H3" s="3"/>
    </row>
    <row r="4" customFormat="false" ht="15" hidden="false" customHeight="false" outlineLevel="0" collapsed="false">
      <c r="A4" s="2" t="s">
        <v>8</v>
      </c>
      <c r="B4" s="3" t="s">
        <v>12</v>
      </c>
      <c r="C4" s="2" t="s">
        <v>10</v>
      </c>
      <c r="D4" s="2" t="n">
        <v>12037950</v>
      </c>
      <c r="E4" s="2" t="n">
        <v>12030950</v>
      </c>
      <c r="F4" s="2" t="n">
        <v>12030390</v>
      </c>
      <c r="G4" s="2"/>
      <c r="H4" s="3"/>
    </row>
    <row r="5" customFormat="false" ht="15" hidden="false" customHeight="false" outlineLevel="0" collapsed="false">
      <c r="A5" s="2" t="s">
        <v>8</v>
      </c>
      <c r="B5" s="3" t="s">
        <v>13</v>
      </c>
      <c r="C5" s="2" t="s">
        <v>10</v>
      </c>
      <c r="D5" s="2" t="n">
        <v>65060</v>
      </c>
      <c r="E5" s="2" t="n">
        <v>30320</v>
      </c>
      <c r="F5" s="2" t="n">
        <v>1041530800</v>
      </c>
      <c r="G5" s="2"/>
      <c r="H5" s="3"/>
    </row>
    <row r="6" customFormat="false" ht="15" hidden="false" customHeight="false" outlineLevel="0" collapsed="false">
      <c r="A6" s="2" t="s">
        <v>14</v>
      </c>
      <c r="B6" s="3" t="s">
        <v>15</v>
      </c>
      <c r="C6" s="2" t="s">
        <v>16</v>
      </c>
      <c r="D6" s="2" t="n">
        <v>65250</v>
      </c>
      <c r="E6" s="2" t="n">
        <v>30380</v>
      </c>
      <c r="F6" s="2" t="n">
        <v>1037540810</v>
      </c>
      <c r="G6" s="2"/>
      <c r="H6" s="3"/>
    </row>
    <row r="7" customFormat="false" ht="15" hidden="false" customHeight="false" outlineLevel="0" collapsed="false">
      <c r="A7" s="2" t="s">
        <v>14</v>
      </c>
      <c r="B7" s="3" t="s">
        <v>17</v>
      </c>
      <c r="C7" s="2" t="s">
        <v>16</v>
      </c>
      <c r="D7" s="2" t="n">
        <v>65000</v>
      </c>
      <c r="E7" s="2" t="n">
        <v>30320</v>
      </c>
      <c r="F7" s="2" t="n">
        <v>1041530800</v>
      </c>
      <c r="G7" s="2"/>
      <c r="H7" s="3"/>
    </row>
    <row r="8" customFormat="false" ht="15" hidden="false" customHeight="false" outlineLevel="0" collapsed="false">
      <c r="A8" s="2" t="s">
        <v>14</v>
      </c>
      <c r="B8" s="3" t="s">
        <v>18</v>
      </c>
      <c r="C8" s="2" t="s">
        <v>16</v>
      </c>
      <c r="D8" s="2" t="n">
        <v>65280</v>
      </c>
      <c r="E8" s="2" t="n">
        <v>30410</v>
      </c>
      <c r="F8" s="2" t="n">
        <v>1047400800</v>
      </c>
      <c r="G8" s="2"/>
      <c r="H8" s="3"/>
    </row>
    <row r="9" customFormat="false" ht="15" hidden="false" customHeight="false" outlineLevel="0" collapsed="false">
      <c r="A9" s="2" t="s">
        <v>14</v>
      </c>
      <c r="B9" s="3" t="s">
        <v>19</v>
      </c>
      <c r="C9" s="2" t="s">
        <v>16</v>
      </c>
      <c r="D9" s="2" t="n">
        <v>65310</v>
      </c>
      <c r="E9" s="2" t="n">
        <v>30200</v>
      </c>
      <c r="F9" s="2" t="n">
        <v>1038480800</v>
      </c>
      <c r="G9" s="2"/>
      <c r="H9" s="3"/>
    </row>
    <row r="10" customFormat="false" ht="15" hidden="false" customHeight="false" outlineLevel="0" collapsed="false">
      <c r="A10" s="2" t="s">
        <v>14</v>
      </c>
      <c r="B10" s="3" t="s">
        <v>20</v>
      </c>
      <c r="C10" s="2" t="s">
        <v>16</v>
      </c>
      <c r="D10" s="2" t="n">
        <v>65300</v>
      </c>
      <c r="E10" s="2" t="n">
        <v>30200</v>
      </c>
      <c r="F10" s="2" t="n">
        <v>1038480800</v>
      </c>
      <c r="G10" s="2"/>
      <c r="H10" s="3"/>
    </row>
    <row r="11" customFormat="false" ht="15" hidden="false" customHeight="false" outlineLevel="0" collapsed="false">
      <c r="A11" s="2" t="s">
        <v>14</v>
      </c>
      <c r="B11" s="3" t="s">
        <v>21</v>
      </c>
      <c r="C11" s="2" t="s">
        <v>16</v>
      </c>
      <c r="D11" s="2" t="n">
        <v>65080</v>
      </c>
      <c r="E11" s="2" t="n">
        <v>30185</v>
      </c>
      <c r="F11" s="2" t="n">
        <v>1043330800</v>
      </c>
      <c r="G11" s="2"/>
      <c r="H11" s="3"/>
    </row>
    <row r="12" customFormat="false" ht="15" hidden="false" customHeight="false" outlineLevel="0" collapsed="false">
      <c r="A12" s="2" t="s">
        <v>14</v>
      </c>
      <c r="B12" s="3" t="s">
        <v>22</v>
      </c>
      <c r="C12" s="2" t="s">
        <v>16</v>
      </c>
      <c r="D12" s="2" t="n">
        <v>65160</v>
      </c>
      <c r="E12" s="2" t="n">
        <v>30205</v>
      </c>
      <c r="F12" s="2" t="n">
        <v>1033430800</v>
      </c>
      <c r="G12" s="2"/>
      <c r="H12" s="3"/>
    </row>
    <row r="13" customFormat="false" ht="15" hidden="false" customHeight="false" outlineLevel="0" collapsed="false">
      <c r="A13" s="2" t="s">
        <v>23</v>
      </c>
      <c r="B13" s="3" t="s">
        <v>24</v>
      </c>
      <c r="C13" s="2" t="s">
        <v>10</v>
      </c>
      <c r="D13" s="2" t="n">
        <v>530130</v>
      </c>
      <c r="E13" s="2" t="n">
        <v>30130</v>
      </c>
      <c r="F13" s="2" t="n">
        <v>1044350800</v>
      </c>
      <c r="G13" s="2"/>
      <c r="H13" s="3"/>
    </row>
    <row r="14" customFormat="false" ht="15" hidden="false" customHeight="false" outlineLevel="0" collapsed="false">
      <c r="A14" s="2" t="s">
        <v>23</v>
      </c>
      <c r="B14" s="3" t="s">
        <v>25</v>
      </c>
      <c r="C14" s="2" t="s">
        <v>10</v>
      </c>
      <c r="D14" s="2" t="n">
        <v>530120</v>
      </c>
      <c r="E14" s="2" t="n">
        <v>30120</v>
      </c>
      <c r="F14" s="2" t="n">
        <v>1042370800</v>
      </c>
      <c r="G14" s="2"/>
      <c r="H14" s="3"/>
    </row>
    <row r="15" customFormat="false" ht="15" hidden="false" customHeight="false" outlineLevel="0" collapsed="false">
      <c r="A15" s="2" t="s">
        <v>26</v>
      </c>
      <c r="B15" s="3" t="s">
        <v>27</v>
      </c>
      <c r="C15" s="2" t="s">
        <v>10</v>
      </c>
      <c r="D15" s="2" t="n">
        <v>1044327410</v>
      </c>
      <c r="E15" s="2" t="n">
        <v>1044320410</v>
      </c>
      <c r="F15" s="2" t="n">
        <v>1044320342</v>
      </c>
      <c r="G15" s="2"/>
      <c r="H15" s="3"/>
    </row>
    <row r="16" customFormat="false" ht="15" hidden="false" customHeight="false" outlineLevel="0" collapsed="false">
      <c r="A16" s="2" t="s">
        <v>28</v>
      </c>
      <c r="B16" s="3" t="s">
        <v>29</v>
      </c>
      <c r="C16" s="2" t="s">
        <v>10</v>
      </c>
      <c r="D16" s="2" t="n">
        <v>1036487400</v>
      </c>
      <c r="E16" s="2" t="n">
        <v>1036480400</v>
      </c>
      <c r="F16" s="2" t="n">
        <v>1036480340</v>
      </c>
      <c r="G16" s="2"/>
      <c r="H16" s="3"/>
    </row>
    <row r="17" customFormat="false" ht="15" hidden="false" customHeight="false" outlineLevel="0" collapsed="false">
      <c r="A17" s="2" t="s">
        <v>30</v>
      </c>
      <c r="B17" s="3" t="s">
        <v>31</v>
      </c>
      <c r="C17" s="2" t="s">
        <v>10</v>
      </c>
      <c r="D17" s="2" t="n">
        <v>1039437400</v>
      </c>
      <c r="E17" s="2" t="n">
        <v>1039430400</v>
      </c>
      <c r="F17" s="2" t="n">
        <v>1039430340</v>
      </c>
      <c r="G17" s="2"/>
      <c r="H17" s="3"/>
    </row>
    <row r="18" customFormat="false" ht="15" hidden="false" customHeight="false" outlineLevel="0" collapsed="false">
      <c r="A18" s="2" t="s">
        <v>32</v>
      </c>
      <c r="B18" s="3" t="s">
        <v>33</v>
      </c>
      <c r="C18" s="2" t="s">
        <v>10</v>
      </c>
      <c r="D18" s="2" t="n">
        <v>1043377400</v>
      </c>
      <c r="E18" s="2" t="n">
        <v>1043370400</v>
      </c>
      <c r="F18" s="2" t="n">
        <v>1043370340</v>
      </c>
      <c r="G18" s="2"/>
      <c r="H18" s="3"/>
    </row>
    <row r="19" customFormat="false" ht="15" hidden="false" customHeight="false" outlineLevel="0" collapsed="false">
      <c r="A19" s="2" t="s">
        <v>34</v>
      </c>
      <c r="B19" s="3" t="s">
        <v>35</v>
      </c>
      <c r="C19" s="2" t="s">
        <v>10</v>
      </c>
      <c r="D19" s="2" t="n">
        <v>1039517200</v>
      </c>
      <c r="E19" s="2" t="n">
        <v>1039510200</v>
      </c>
      <c r="F19" s="2" t="n">
        <v>1039510800</v>
      </c>
      <c r="G19" s="2"/>
      <c r="H19" s="3"/>
    </row>
    <row r="20" customFormat="false" ht="15" hidden="false" customHeight="false" outlineLevel="0" collapsed="false">
      <c r="A20" s="2" t="s">
        <v>36</v>
      </c>
      <c r="B20" s="3" t="s">
        <v>37</v>
      </c>
      <c r="C20" s="2" t="s">
        <v>10</v>
      </c>
      <c r="D20" s="2" t="n">
        <v>530350</v>
      </c>
      <c r="E20" s="2" t="n">
        <v>30350</v>
      </c>
      <c r="F20" s="2" t="n">
        <v>1040520800</v>
      </c>
      <c r="G20" s="2"/>
      <c r="H20" s="3"/>
    </row>
    <row r="21" customFormat="false" ht="15" hidden="false" customHeight="false" outlineLevel="0" collapsed="false">
      <c r="A21" s="2" t="s">
        <v>38</v>
      </c>
      <c r="B21" s="3" t="s">
        <v>39</v>
      </c>
      <c r="C21" s="2" t="s">
        <v>10</v>
      </c>
      <c r="D21" s="2" t="n">
        <v>530265</v>
      </c>
      <c r="E21" s="2" t="n">
        <v>30265</v>
      </c>
      <c r="F21" s="2" t="n">
        <v>1033420800</v>
      </c>
      <c r="G21" s="2"/>
      <c r="H21" s="3"/>
    </row>
    <row r="22" customFormat="false" ht="15" hidden="false" customHeight="false" outlineLevel="0" collapsed="false">
      <c r="A22" s="2" t="s">
        <v>40</v>
      </c>
      <c r="B22" s="3" t="s">
        <v>41</v>
      </c>
      <c r="C22" s="2" t="s">
        <v>10</v>
      </c>
      <c r="D22" s="2" t="n">
        <v>1042387400</v>
      </c>
      <c r="E22" s="2" t="n">
        <v>1042380400</v>
      </c>
      <c r="F22" s="2" t="n">
        <v>1042380800</v>
      </c>
      <c r="G22" s="2"/>
      <c r="H22" s="3"/>
    </row>
    <row r="23" customFormat="false" ht="15" hidden="false" customHeight="false" outlineLevel="0" collapsed="false">
      <c r="A23" s="2" t="s">
        <v>40</v>
      </c>
      <c r="B23" s="3" t="s">
        <v>42</v>
      </c>
      <c r="C23" s="2" t="s">
        <v>10</v>
      </c>
      <c r="D23" s="2" t="n">
        <v>1042387410</v>
      </c>
      <c r="E23" s="2" t="n">
        <v>1042380410</v>
      </c>
      <c r="F23" s="2" t="n">
        <v>1042380850</v>
      </c>
      <c r="G23" s="2"/>
      <c r="H23" s="3"/>
    </row>
    <row r="24" customFormat="false" ht="15" hidden="false" customHeight="false" outlineLevel="0" collapsed="false">
      <c r="A24" s="2" t="s">
        <v>43</v>
      </c>
      <c r="B24" s="3" t="s">
        <v>44</v>
      </c>
      <c r="C24" s="2" t="s">
        <v>10</v>
      </c>
      <c r="D24" s="2" t="n">
        <v>65040</v>
      </c>
      <c r="E24" s="2" t="n">
        <v>30205</v>
      </c>
      <c r="F24" s="2" t="n">
        <v>1033430800</v>
      </c>
      <c r="G24" s="2"/>
      <c r="H24" s="3"/>
    </row>
    <row r="25" customFormat="false" ht="15" hidden="false" customHeight="false" outlineLevel="0" collapsed="false">
      <c r="A25" s="2" t="s">
        <v>45</v>
      </c>
      <c r="B25" s="3" t="s">
        <v>46</v>
      </c>
      <c r="C25" s="2" t="s">
        <v>10</v>
      </c>
      <c r="D25" s="2" t="n">
        <v>65090</v>
      </c>
      <c r="E25" s="2" t="n">
        <v>30185</v>
      </c>
      <c r="F25" s="2" t="n">
        <v>1043330800</v>
      </c>
      <c r="G25" s="2"/>
      <c r="H25" s="3"/>
    </row>
    <row r="26" customFormat="false" ht="15" hidden="false" customHeight="false" outlineLevel="0" collapsed="false">
      <c r="A26" s="2" t="s">
        <v>47</v>
      </c>
      <c r="B26" s="3" t="s">
        <v>48</v>
      </c>
      <c r="C26" s="2" t="s">
        <v>10</v>
      </c>
      <c r="D26" s="2" t="n">
        <v>530225</v>
      </c>
      <c r="E26" s="2" t="n">
        <v>30225</v>
      </c>
      <c r="F26" s="2" t="n">
        <v>1035420800</v>
      </c>
      <c r="G26" s="2"/>
      <c r="H26" s="3"/>
    </row>
    <row r="27" customFormat="false" ht="15" hidden="false" customHeight="false" outlineLevel="0" collapsed="false">
      <c r="A27" s="2" t="s">
        <v>49</v>
      </c>
      <c r="B27" s="3" t="s">
        <v>50</v>
      </c>
      <c r="C27" s="2" t="s">
        <v>10</v>
      </c>
      <c r="D27" s="2" t="n">
        <v>530385</v>
      </c>
      <c r="E27" s="2" t="n">
        <v>30385</v>
      </c>
      <c r="F27" s="2" t="n">
        <v>1038520340</v>
      </c>
      <c r="G27" s="2"/>
      <c r="H27" s="3"/>
    </row>
    <row r="28" customFormat="false" ht="15" hidden="false" customHeight="false" outlineLevel="0" collapsed="false">
      <c r="A28" s="2" t="s">
        <v>51</v>
      </c>
      <c r="B28" s="3" t="s">
        <v>50</v>
      </c>
      <c r="C28" s="2" t="s">
        <v>10</v>
      </c>
      <c r="D28" s="2" t="n">
        <v>530240</v>
      </c>
      <c r="E28" s="2" t="n">
        <v>30240</v>
      </c>
      <c r="F28" s="2" t="n">
        <v>1039440800</v>
      </c>
      <c r="G28" s="2"/>
      <c r="H28" s="3"/>
    </row>
    <row r="29" customFormat="false" ht="15" hidden="false" customHeight="false" outlineLevel="0" collapsed="false">
      <c r="A29" s="2" t="s">
        <v>52</v>
      </c>
      <c r="B29" s="3" t="s">
        <v>50</v>
      </c>
      <c r="C29" s="2" t="s">
        <v>10</v>
      </c>
      <c r="D29" s="2" t="n">
        <v>530170</v>
      </c>
      <c r="E29" s="2" t="n">
        <v>30170</v>
      </c>
      <c r="F29" s="2" t="n">
        <v>1045390800</v>
      </c>
      <c r="G29" s="2"/>
      <c r="H29" s="3"/>
    </row>
    <row r="30" customFormat="false" ht="15" hidden="false" customHeight="false" outlineLevel="0" collapsed="false">
      <c r="A30" s="2" t="s">
        <v>53</v>
      </c>
      <c r="B30" s="3" t="s">
        <v>54</v>
      </c>
      <c r="C30" s="2" t="s">
        <v>10</v>
      </c>
      <c r="D30" s="2" t="n">
        <v>530315</v>
      </c>
      <c r="E30" s="2" t="n">
        <v>30315</v>
      </c>
      <c r="F30" s="2" t="n">
        <v>1045520800</v>
      </c>
      <c r="G30" s="2"/>
      <c r="H30" s="3"/>
    </row>
    <row r="31" customFormat="false" ht="15" hidden="false" customHeight="false" outlineLevel="0" collapsed="false">
      <c r="A31" s="2" t="s">
        <v>55</v>
      </c>
      <c r="B31" s="3" t="s">
        <v>56</v>
      </c>
      <c r="C31" s="2" t="s">
        <v>10</v>
      </c>
      <c r="D31" s="2" t="n">
        <v>530260</v>
      </c>
      <c r="E31" s="2" t="n">
        <v>30260</v>
      </c>
      <c r="F31" s="2" t="n">
        <v>1034420800</v>
      </c>
      <c r="G31" s="2"/>
      <c r="H31" s="3"/>
    </row>
    <row r="32" customFormat="false" ht="15" hidden="false" customHeight="false" outlineLevel="0" collapsed="false">
      <c r="A32" s="2" t="s">
        <v>57</v>
      </c>
      <c r="B32" s="3" t="s">
        <v>56</v>
      </c>
      <c r="C32" s="2" t="s">
        <v>10</v>
      </c>
      <c r="D32" s="2" t="n">
        <v>530210</v>
      </c>
      <c r="E32" s="2" t="n">
        <v>30210</v>
      </c>
      <c r="F32" s="2" t="n">
        <v>1034450800</v>
      </c>
      <c r="G32" s="2"/>
      <c r="H32" s="3"/>
    </row>
    <row r="33" customFormat="false" ht="15" hidden="false" customHeight="false" outlineLevel="0" collapsed="false">
      <c r="A33" s="2" t="s">
        <v>58</v>
      </c>
      <c r="B33" s="3" t="s">
        <v>56</v>
      </c>
      <c r="C33" s="2" t="s">
        <v>10</v>
      </c>
      <c r="D33" s="2" t="n">
        <v>530390</v>
      </c>
      <c r="E33" s="2" t="n">
        <v>30390</v>
      </c>
      <c r="F33" s="2" t="n">
        <v>1035530800</v>
      </c>
      <c r="G33" s="2"/>
      <c r="H33" s="3"/>
    </row>
    <row r="34" customFormat="false" ht="15" hidden="false" customHeight="false" outlineLevel="0" collapsed="false">
      <c r="A34" s="2" t="s">
        <v>59</v>
      </c>
      <c r="B34" s="3" t="s">
        <v>56</v>
      </c>
      <c r="C34" s="2" t="s">
        <v>10</v>
      </c>
      <c r="D34" s="2" t="n">
        <v>530110</v>
      </c>
      <c r="E34" s="2" t="n">
        <v>30110</v>
      </c>
      <c r="F34" s="2" t="n">
        <v>1043360800</v>
      </c>
      <c r="G34" s="2"/>
      <c r="H34" s="3"/>
    </row>
    <row r="35" customFormat="false" ht="15" hidden="false" customHeight="false" outlineLevel="0" collapsed="false">
      <c r="A35" s="2" t="s">
        <v>60</v>
      </c>
      <c r="B35" s="3" t="s">
        <v>56</v>
      </c>
      <c r="C35" s="2" t="s">
        <v>10</v>
      </c>
      <c r="D35" s="2" t="n">
        <v>530400</v>
      </c>
      <c r="E35" s="2" t="n">
        <v>30400</v>
      </c>
      <c r="F35" s="2" t="n">
        <v>1048370800</v>
      </c>
      <c r="G35" s="2"/>
      <c r="H35" s="3"/>
    </row>
    <row r="36" customFormat="false" ht="15" hidden="false" customHeight="false" outlineLevel="0" collapsed="false">
      <c r="A36" s="2" t="s">
        <v>61</v>
      </c>
      <c r="B36" s="3" t="s">
        <v>62</v>
      </c>
      <c r="C36" s="2" t="s">
        <v>10</v>
      </c>
      <c r="D36" s="2" t="n">
        <v>530325</v>
      </c>
      <c r="E36" s="2" t="n">
        <v>30325</v>
      </c>
      <c r="F36" s="2" t="n">
        <v>1042550800</v>
      </c>
      <c r="G36" s="2"/>
      <c r="H36" s="3"/>
    </row>
    <row r="37" customFormat="false" ht="15" hidden="false" customHeight="false" outlineLevel="0" collapsed="false">
      <c r="A37" s="2" t="s">
        <v>63</v>
      </c>
      <c r="B37" s="3" t="s">
        <v>64</v>
      </c>
      <c r="C37" s="2" t="s">
        <v>10</v>
      </c>
      <c r="D37" s="2" t="n">
        <v>530100</v>
      </c>
      <c r="E37" s="2" t="n">
        <v>30100</v>
      </c>
      <c r="F37" s="2" t="n">
        <v>1042360800</v>
      </c>
      <c r="G37" s="2"/>
      <c r="H37" s="3"/>
    </row>
    <row r="38" customFormat="false" ht="15" hidden="false" customHeight="false" outlineLevel="0" collapsed="false">
      <c r="A38" s="2" t="s">
        <v>65</v>
      </c>
      <c r="B38" s="3" t="s">
        <v>66</v>
      </c>
      <c r="C38" s="2" t="s">
        <v>10</v>
      </c>
      <c r="D38" s="2" t="n">
        <v>1048417800</v>
      </c>
      <c r="E38" s="2" t="n">
        <v>1048410800</v>
      </c>
      <c r="F38" s="2" t="n">
        <v>1048410800</v>
      </c>
      <c r="G38" s="2"/>
      <c r="H38" s="3"/>
    </row>
    <row r="39" customFormat="false" ht="15" hidden="false" customHeight="false" outlineLevel="0" collapsed="false">
      <c r="A39" s="2" t="s">
        <v>67</v>
      </c>
      <c r="B39" s="3" t="s">
        <v>68</v>
      </c>
      <c r="C39" s="2" t="s">
        <v>10</v>
      </c>
      <c r="D39" s="2" t="n">
        <v>65100</v>
      </c>
      <c r="E39" s="2" t="n">
        <v>30410</v>
      </c>
      <c r="F39" s="2" t="n">
        <v>1047400800</v>
      </c>
      <c r="G39" s="2"/>
      <c r="H39" s="3"/>
    </row>
    <row r="40" customFormat="false" ht="15" hidden="false" customHeight="false" outlineLevel="0" collapsed="false">
      <c r="A40" s="2" t="s">
        <v>69</v>
      </c>
      <c r="B40" s="3" t="s">
        <v>70</v>
      </c>
      <c r="C40" s="2" t="s">
        <v>10</v>
      </c>
      <c r="D40" s="2" t="n">
        <v>65180</v>
      </c>
      <c r="E40" s="2" t="n">
        <v>30380</v>
      </c>
      <c r="F40" s="2" t="n">
        <v>1037540810</v>
      </c>
      <c r="G40" s="2"/>
      <c r="H40" s="3"/>
    </row>
    <row r="41" customFormat="false" ht="15" hidden="false" customHeight="false" outlineLevel="0" collapsed="false">
      <c r="A41" s="2" t="s">
        <v>71</v>
      </c>
      <c r="B41" s="3" t="s">
        <v>72</v>
      </c>
      <c r="C41" s="2" t="s">
        <v>10</v>
      </c>
      <c r="D41" s="2" t="n">
        <v>65290</v>
      </c>
      <c r="E41" s="2" t="n">
        <v>30200</v>
      </c>
      <c r="F41" s="2" t="n">
        <v>1038480800</v>
      </c>
      <c r="G41" s="2"/>
      <c r="H41" s="3"/>
    </row>
    <row r="42" customFormat="false" ht="15" hidden="false" customHeight="false" outlineLevel="0" collapsed="false">
      <c r="A42" s="2" t="s">
        <v>73</v>
      </c>
      <c r="B42" s="3" t="s">
        <v>74</v>
      </c>
      <c r="C42" s="2" t="s">
        <v>10</v>
      </c>
      <c r="D42" s="2" t="n">
        <v>1037467400</v>
      </c>
      <c r="E42" s="2" t="n">
        <v>1037460400</v>
      </c>
      <c r="F42" s="2" t="n">
        <v>1037460800</v>
      </c>
      <c r="G42" s="2"/>
      <c r="H42" s="3"/>
    </row>
    <row r="43" customFormat="false" ht="15" hidden="false" customHeight="false" outlineLevel="0" collapsed="false">
      <c r="A43" s="2" t="s">
        <v>75</v>
      </c>
      <c r="B43" s="3" t="s">
        <v>76</v>
      </c>
      <c r="C43" s="2" t="s">
        <v>10</v>
      </c>
      <c r="D43" s="2" t="n">
        <v>1043537400</v>
      </c>
      <c r="E43" s="2" t="n">
        <v>1043530400</v>
      </c>
      <c r="F43" s="2" t="n">
        <v>1043530800</v>
      </c>
      <c r="G43" s="2"/>
      <c r="H43" s="3"/>
    </row>
    <row r="44" customFormat="false" ht="15" hidden="false" customHeight="false" outlineLevel="0" collapsed="false">
      <c r="A44" s="2" t="s">
        <v>77</v>
      </c>
      <c r="B44" s="3" t="s">
        <v>78</v>
      </c>
      <c r="C44" s="2" t="s">
        <v>10</v>
      </c>
      <c r="D44" s="2" t="n">
        <v>60450</v>
      </c>
      <c r="E44" s="2" t="n">
        <v>30395</v>
      </c>
      <c r="F44" s="2" t="n">
        <v>1037530800</v>
      </c>
      <c r="G44" s="2"/>
      <c r="H44" s="3"/>
    </row>
    <row r="45" customFormat="false" ht="15" hidden="false" customHeight="false" outlineLevel="0" collapsed="false">
      <c r="A45" s="2" t="s">
        <v>79</v>
      </c>
      <c r="B45" s="3" t="s">
        <v>80</v>
      </c>
      <c r="C45" s="2" t="s">
        <v>10</v>
      </c>
      <c r="D45" s="2" t="n">
        <v>1042337100</v>
      </c>
      <c r="E45" s="2" t="n">
        <v>1042330100</v>
      </c>
      <c r="F45" s="2" t="n">
        <v>1042330800</v>
      </c>
      <c r="G45" s="2"/>
      <c r="H45" s="3"/>
    </row>
    <row r="46" customFormat="false" ht="15" hidden="false" customHeight="false" outlineLevel="0" collapsed="false">
      <c r="A46" s="2" t="s">
        <v>81</v>
      </c>
      <c r="B46" s="3" t="s">
        <v>82</v>
      </c>
      <c r="C46" s="2" t="s">
        <v>10</v>
      </c>
      <c r="D46" s="2" t="n">
        <v>1037427400</v>
      </c>
      <c r="E46" s="2" t="n">
        <v>1037420400</v>
      </c>
      <c r="F46" s="2" t="n">
        <v>1037420340</v>
      </c>
      <c r="G46" s="2"/>
      <c r="H46" s="3"/>
    </row>
    <row r="47" customFormat="false" ht="15" hidden="false" customHeight="false" outlineLevel="0" collapsed="false">
      <c r="A47" s="2" t="s">
        <v>26</v>
      </c>
      <c r="B47" s="3" t="s">
        <v>83</v>
      </c>
      <c r="C47" s="2" t="s">
        <v>10</v>
      </c>
      <c r="D47" s="2" t="n">
        <v>1044327400</v>
      </c>
      <c r="E47" s="2" t="n">
        <v>1044320400</v>
      </c>
      <c r="F47" s="2" t="n">
        <v>1044320340</v>
      </c>
      <c r="G47" s="2"/>
      <c r="H47" s="3"/>
    </row>
    <row r="48" customFormat="false" ht="15" hidden="false" customHeight="false" outlineLevel="0" collapsed="false">
      <c r="A48" s="2" t="s">
        <v>84</v>
      </c>
      <c r="B48" s="3" t="s">
        <v>85</v>
      </c>
      <c r="C48" s="2" t="s">
        <v>10</v>
      </c>
      <c r="D48" s="2" t="n">
        <v>530310</v>
      </c>
      <c r="E48" s="2" t="n">
        <v>30310</v>
      </c>
      <c r="F48" s="2" t="n">
        <v>1041500800</v>
      </c>
      <c r="G48" s="2"/>
      <c r="H48" s="3"/>
    </row>
    <row r="49" customFormat="false" ht="15" hidden="false" customHeight="false" outlineLevel="0" collapsed="false">
      <c r="A49" s="2" t="s">
        <v>86</v>
      </c>
      <c r="B49" s="3" t="s">
        <v>87</v>
      </c>
      <c r="C49" s="2" t="s">
        <v>10</v>
      </c>
      <c r="D49" s="2" t="n">
        <v>530375</v>
      </c>
      <c r="E49" s="2" t="n">
        <v>30375</v>
      </c>
      <c r="F49" s="2" t="n">
        <v>1036540800</v>
      </c>
      <c r="G49" s="2"/>
      <c r="H49" s="3"/>
    </row>
    <row r="50" customFormat="false" ht="15" hidden="false" customHeight="false" outlineLevel="0" collapsed="false">
      <c r="A50" s="2" t="s">
        <v>88</v>
      </c>
      <c r="B50" s="3" t="s">
        <v>89</v>
      </c>
      <c r="C50" s="2" t="s">
        <v>10</v>
      </c>
      <c r="D50" s="2" t="n">
        <v>1044537300</v>
      </c>
      <c r="E50" s="2" t="n">
        <v>1044530300</v>
      </c>
      <c r="F50" s="2" t="n">
        <v>1044530800</v>
      </c>
      <c r="G50" s="2"/>
      <c r="H50" s="3"/>
    </row>
    <row r="51" customFormat="false" ht="15" hidden="false" customHeight="false" outlineLevel="0" collapsed="false">
      <c r="A51" s="2" t="s">
        <v>90</v>
      </c>
      <c r="B51" s="3" t="s">
        <v>91</v>
      </c>
      <c r="C51" s="2" t="s">
        <v>10</v>
      </c>
      <c r="D51" s="2" t="n">
        <v>530245</v>
      </c>
      <c r="E51" s="2" t="n">
        <v>30245</v>
      </c>
      <c r="F51" s="2" t="n">
        <v>1038410800</v>
      </c>
      <c r="G51" s="2"/>
      <c r="H51" s="3"/>
    </row>
    <row r="52" customFormat="false" ht="15" hidden="false" customHeight="false" outlineLevel="0" collapsed="false">
      <c r="A52" s="2" t="s">
        <v>92</v>
      </c>
      <c r="B52" s="3" t="s">
        <v>93</v>
      </c>
      <c r="C52" s="2" t="s">
        <v>10</v>
      </c>
      <c r="D52" s="2" t="n">
        <v>530300</v>
      </c>
      <c r="E52" s="2" t="n">
        <v>30300</v>
      </c>
      <c r="F52" s="2" t="n">
        <v>1037510800</v>
      </c>
      <c r="G52" s="2"/>
      <c r="H52" s="3"/>
    </row>
    <row r="53" customFormat="false" ht="15" hidden="false" customHeight="false" outlineLevel="0" collapsed="false">
      <c r="A53" s="2" t="s">
        <v>94</v>
      </c>
      <c r="B53" s="3" t="s">
        <v>95</v>
      </c>
      <c r="C53" s="2" t="s">
        <v>10</v>
      </c>
      <c r="D53" s="2" t="n">
        <v>1036457400</v>
      </c>
      <c r="E53" s="2" t="n">
        <v>1036450400</v>
      </c>
      <c r="F53" s="2" t="n">
        <v>1036450340</v>
      </c>
      <c r="G53" s="2"/>
      <c r="H53" s="3"/>
    </row>
    <row r="54" customFormat="false" ht="15" hidden="false" customHeight="false" outlineLevel="0" collapsed="false">
      <c r="A54" s="2" t="s">
        <v>96</v>
      </c>
      <c r="B54" s="3" t="s">
        <v>97</v>
      </c>
      <c r="C54" s="2" t="s">
        <v>10</v>
      </c>
      <c r="D54" s="2" t="n">
        <v>530250</v>
      </c>
      <c r="E54" s="2" t="n">
        <v>30250</v>
      </c>
      <c r="F54" s="2" t="n">
        <v>1033450800</v>
      </c>
      <c r="G54" s="2"/>
      <c r="H54" s="3"/>
    </row>
    <row r="55" customFormat="false" ht="15" hidden="false" customHeight="false" outlineLevel="0" collapsed="false">
      <c r="A55" s="2" t="s">
        <v>98</v>
      </c>
      <c r="B55" s="3" t="s">
        <v>99</v>
      </c>
      <c r="C55" s="2" t="s">
        <v>10</v>
      </c>
      <c r="D55" s="2" t="n">
        <v>530255</v>
      </c>
      <c r="E55" s="2" t="n">
        <v>30255</v>
      </c>
      <c r="F55" s="2" t="n">
        <v>1036500800</v>
      </c>
      <c r="G55" s="2"/>
      <c r="H55" s="3"/>
    </row>
  </sheetData>
  <autoFilter ref="A1:H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0</v>
      </c>
      <c r="B1" s="4" t="s">
        <v>100</v>
      </c>
    </row>
    <row r="2" customFormat="false" ht="15" hidden="false" customHeight="false" outlineLevel="0" collapsed="false">
      <c r="A2" s="0" t="s">
        <v>101</v>
      </c>
      <c r="B2" s="0" t="n">
        <f aca="false">COUNTIF('Boss-Drop (Tier 2)'!A2:A55,"Overworld (field boss)*")</f>
        <v>0</v>
      </c>
    </row>
    <row r="3" customFormat="false" ht="15" hidden="false" customHeight="false" outlineLevel="0" collapsed="false">
      <c r="A3" s="0" t="s">
        <v>102</v>
      </c>
      <c r="B3" s="0" t="n">
        <f aca="false">COUNTIF('Boss-Drop (Tier 2)'!A2:A55,"Global*")</f>
        <v>7</v>
      </c>
    </row>
    <row r="4" customFormat="false" ht="15" hidden="false" customHeight="false" outlineLevel="0" collapsed="false">
      <c r="A4" s="0" t="s">
        <v>103</v>
      </c>
      <c r="B4" s="0" t="n">
        <f aca="false">COUNTIF('Boss-Drop (Tier 2)'!A2:A55,"Eternal Cities*")</f>
        <v>4</v>
      </c>
    </row>
    <row r="5" customFormat="false" ht="15" hidden="false" customHeight="false" outlineLevel="0" collapsed="false">
      <c r="A5" s="0" t="s">
        <v>104</v>
      </c>
      <c r="B5" s="0" t="n">
        <f aca="false">COUNTIF('Boss-Drop (Tier 2)'!A2:A55,"Leyndell*")</f>
        <v>2</v>
      </c>
    </row>
    <row r="6" customFormat="false" ht="15" hidden="false" customHeight="false" outlineLevel="0" collapsed="false">
      <c r="A6" s="0" t="s">
        <v>105</v>
      </c>
      <c r="B6" s="0" t="n">
        <f aca="false">SUBTOTAL(103,'Boss-Drop (Tier 2)'!A2:A55)</f>
        <v>54</v>
      </c>
    </row>
    <row r="8" customFormat="false" ht="15" hidden="false" customHeight="false" outlineLevel="0" collapsed="false">
      <c r="A8" s="5" t="s">
        <v>2</v>
      </c>
      <c r="B8" s="5" t="s">
        <v>106</v>
      </c>
    </row>
    <row r="9" customFormat="false" ht="15" hidden="false" customHeight="false" outlineLevel="0" collapsed="false">
      <c r="A9" s="5"/>
      <c r="B9" s="5" t="s">
        <v>107</v>
      </c>
    </row>
    <row r="10" customFormat="false" ht="15" hidden="false" customHeight="false" outlineLevel="0" collapsed="false">
      <c r="A10" s="5"/>
      <c r="B10" s="5" t="s">
        <v>108</v>
      </c>
    </row>
    <row r="11" customFormat="false" ht="15" hidden="false" customHeight="false" outlineLevel="0" collapsed="false">
      <c r="A11" s="5"/>
      <c r="B11" s="5" t="s">
        <v>109</v>
      </c>
    </row>
    <row r="12" customFormat="false" ht="15" hidden="false" customHeight="false" outlineLevel="0" collapsed="false">
      <c r="A12" s="5"/>
      <c r="B12" s="5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2026-07-08T15:10:25Z</dcterms:created>
  <dc:creator>openpyxl</dc:creator>
  <dc:description/>
  <dc:language>en-US</dc:language>
  <cp:lastModifiedBy/>
  <dcterms:modified xsi:type="dcterms:W3CDTF">2026-07-08T15:10:25Z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