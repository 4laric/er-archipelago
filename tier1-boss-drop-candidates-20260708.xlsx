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1 Boss-Drop Candidates" sheetId="1" state="visible" r:id="rId3"/>
    <sheet name="Summary" sheetId="2" state="visible" r:id="rId4"/>
  </sheets>
  <definedNames>
    <definedName function="false" hidden="true" localSheetId="0" name="_xlnm._FilterDatabase" vbProcedure="false">'Tier1 Boss-Drop Candidates'!$A$1:$H$176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<sst xmlns="http://schemas.openxmlformats.org/spreadsheetml/2006/main" count="906" uniqueCount="349">
  <si>
    <t xml:space="preserve">Region</t>
  </si>
  <si>
    <t xml:space="preserve">Item</t>
  </si>
  <si>
    <t xml:space="preserve">Method</t>
  </si>
  <si>
    <t xml:space="preserve">getItemFlagId</t>
  </si>
  <si>
    <t xml:space="preserve">ItemLot_enemy</t>
  </si>
  <si>
    <t xml:space="preserve">Source NpcParam</t>
  </si>
  <si>
    <t xml:space="preserve">Boss? (Y/N)</t>
  </si>
  <si>
    <t xml:space="preserve">Notes</t>
  </si>
  <si>
    <t xml:space="preserve">Caves</t>
  </si>
  <si>
    <t xml:space="preserve">Ghost Glovewort [4]</t>
  </si>
  <si>
    <t xml:space="preserve">flag_prefix</t>
  </si>
  <si>
    <t xml:space="preserve">402040001</t>
  </si>
  <si>
    <t xml:space="preserve">(none)</t>
  </si>
  <si>
    <t xml:space="preserve">Golden Rune [6]</t>
  </si>
  <si>
    <t xml:space="preserve">emevd</t>
  </si>
  <si>
    <t xml:space="preserve">420120010</t>
  </si>
  <si>
    <t xml:space="preserve">42017020</t>
  </si>
  <si>
    <t xml:space="preserve">Divine Tower</t>
  </si>
  <si>
    <t xml:space="preserve">Ghost Glovewort [6]</t>
  </si>
  <si>
    <t xml:space="preserve">402035001</t>
  </si>
  <si>
    <t xml:space="preserve">Omen Bairn</t>
  </si>
  <si>
    <t xml:space="preserve">214000991</t>
  </si>
  <si>
    <t xml:space="preserve">Somber Smithing Stone [7]</t>
  </si>
  <si>
    <t xml:space="preserve">424035000</t>
  </si>
  <si>
    <t xml:space="preserve">42407035</t>
  </si>
  <si>
    <t xml:space="preserve">Eternal Cities &amp; Underground Rivers</t>
  </si>
  <si>
    <t xml:space="preserve">Alabaster Lord's Sword</t>
  </si>
  <si>
    <t xml:space="preserve">360062000</t>
  </si>
  <si>
    <t xml:space="preserve">36000062</t>
  </si>
  <si>
    <t xml:space="preserve">Immunizing Horn Charm +1</t>
  </si>
  <si>
    <t xml:space="preserve">336000707</t>
  </si>
  <si>
    <t xml:space="preserve">Larval Tear</t>
  </si>
  <si>
    <t xml:space="preserve">333062021</t>
  </si>
  <si>
    <t xml:space="preserve">333062011</t>
  </si>
  <si>
    <t xml:space="preserve">333062001</t>
  </si>
  <si>
    <t xml:space="preserve">333065001</t>
  </si>
  <si>
    <t xml:space="preserve">Prince of Death's Cyst</t>
  </si>
  <si>
    <t xml:space="preserve">463000704</t>
  </si>
  <si>
    <t xml:space="preserve">Shining Horned Headband</t>
  </si>
  <si>
    <t xml:space="preserve">337000704</t>
  </si>
  <si>
    <t xml:space="preserve">Global / Common-event (unplaced)</t>
  </si>
  <si>
    <t xml:space="preserve">global</t>
  </si>
  <si>
    <t xml:space="preserve">70010000</t>
  </si>
  <si>
    <t xml:space="preserve">Ash of War: Golden Vow</t>
  </si>
  <si>
    <t xml:space="preserve">435110106</t>
  </si>
  <si>
    <t xml:space="preserve">Ash of War: Gravitas</t>
  </si>
  <si>
    <t xml:space="preserve">360010000</t>
  </si>
  <si>
    <t xml:space="preserve">36000010</t>
  </si>
  <si>
    <t xml:space="preserve">Dragon Communion Seal</t>
  </si>
  <si>
    <t xml:space="preserve">301000010</t>
  </si>
  <si>
    <t xml:space="preserve">30100507</t>
  </si>
  <si>
    <t xml:space="preserve">Dragon Cult Prayerbook</t>
  </si>
  <si>
    <t xml:space="preserve">435320006</t>
  </si>
  <si>
    <t xml:space="preserve">Global / Filler (scattered by design)</t>
  </si>
  <si>
    <t xml:space="preserve">Ghost Glovewort [2]</t>
  </si>
  <si>
    <t xml:space="preserve">global_filler</t>
  </si>
  <si>
    <t xml:space="preserve">402022011</t>
  </si>
  <si>
    <t xml:space="preserve">402022001</t>
  </si>
  <si>
    <t xml:space="preserve">402020001</t>
  </si>
  <si>
    <t xml:space="preserve">402031011</t>
  </si>
  <si>
    <t xml:space="preserve">402031001</t>
  </si>
  <si>
    <t xml:space="preserve">Glintstone Staff</t>
  </si>
  <si>
    <t xml:space="preserve">430000257</t>
  </si>
  <si>
    <t xml:space="preserve">Golden Rune [10]</t>
  </si>
  <si>
    <t xml:space="preserve">430030413</t>
  </si>
  <si>
    <t xml:space="preserve">430030403</t>
  </si>
  <si>
    <t xml:space="preserve">Golden Rune [12]</t>
  </si>
  <si>
    <t xml:space="preserve">430033423</t>
  </si>
  <si>
    <t xml:space="preserve">Golden Rune [13]</t>
  </si>
  <si>
    <t xml:space="preserve">430052433</t>
  </si>
  <si>
    <t xml:space="preserve">430052443</t>
  </si>
  <si>
    <t xml:space="preserve">420126020</t>
  </si>
  <si>
    <t xml:space="preserve">42017526</t>
  </si>
  <si>
    <t xml:space="preserve">420126010</t>
  </si>
  <si>
    <t xml:space="preserve">42018026</t>
  </si>
  <si>
    <t xml:space="preserve">420126000</t>
  </si>
  <si>
    <t xml:space="preserve">42017426</t>
  </si>
  <si>
    <t xml:space="preserve">420120000</t>
  </si>
  <si>
    <t xml:space="preserve">42017420</t>
  </si>
  <si>
    <t xml:space="preserve">420112000</t>
  </si>
  <si>
    <t xml:space="preserve">42017412</t>
  </si>
  <si>
    <t xml:space="preserve">Golden Rune [9]</t>
  </si>
  <si>
    <t xml:space="preserve">420133000</t>
  </si>
  <si>
    <t xml:space="preserve">42017433</t>
  </si>
  <si>
    <t xml:space="preserve">420140040</t>
  </si>
  <si>
    <t xml:space="preserve">42017840</t>
  </si>
  <si>
    <t xml:space="preserve">420140030</t>
  </si>
  <si>
    <t xml:space="preserve">42017740</t>
  </si>
  <si>
    <t xml:space="preserve">420140020</t>
  </si>
  <si>
    <t xml:space="preserve">42017640</t>
  </si>
  <si>
    <t xml:space="preserve">420140010</t>
  </si>
  <si>
    <t xml:space="preserve">42017540</t>
  </si>
  <si>
    <t xml:space="preserve">420140000</t>
  </si>
  <si>
    <t xml:space="preserve">42017440</t>
  </si>
  <si>
    <t xml:space="preserve">420141000</t>
  </si>
  <si>
    <t xml:space="preserve">42017441</t>
  </si>
  <si>
    <t xml:space="preserve">420141040</t>
  </si>
  <si>
    <t xml:space="preserve">42018042</t>
  </si>
  <si>
    <t xml:space="preserve">420141030</t>
  </si>
  <si>
    <t xml:space="preserve">42017642</t>
  </si>
  <si>
    <t xml:space="preserve">420141020</t>
  </si>
  <si>
    <t xml:space="preserve">42017542</t>
  </si>
  <si>
    <t xml:space="preserve">420141010</t>
  </si>
  <si>
    <t xml:space="preserve">42017442</t>
  </si>
  <si>
    <t xml:space="preserve">Great Ghost Glovewort</t>
  </si>
  <si>
    <t xml:space="preserve">587200700</t>
  </si>
  <si>
    <t xml:space="preserve">58727090,58727091</t>
  </si>
  <si>
    <t xml:space="preserve">Haima Glintstone Crown</t>
  </si>
  <si>
    <t xml:space="preserve">370400703,370400704,370400705,370400706</t>
  </si>
  <si>
    <t xml:space="preserve">Living Jar Shard</t>
  </si>
  <si>
    <t xml:space="preserve">449014001,449014002</t>
  </si>
  <si>
    <t xml:space="preserve">449024001,449024002</t>
  </si>
  <si>
    <t xml:space="preserve">449038001,449038002</t>
  </si>
  <si>
    <t xml:space="preserve">575098701,575098702</t>
  </si>
  <si>
    <t xml:space="preserve">449033031,449033032</t>
  </si>
  <si>
    <t xml:space="preserve">449033021,449033022</t>
  </si>
  <si>
    <t xml:space="preserve">449033011,449033012</t>
  </si>
  <si>
    <t xml:space="preserve">449033001,449033002</t>
  </si>
  <si>
    <t xml:space="preserve">449050041,449050042</t>
  </si>
  <si>
    <t xml:space="preserve">449050031,449050032</t>
  </si>
  <si>
    <t xml:space="preserve">449050021,449050022</t>
  </si>
  <si>
    <t xml:space="preserve">449050011,449050012</t>
  </si>
  <si>
    <t xml:space="preserve">449050001,449050002</t>
  </si>
  <si>
    <t xml:space="preserve">449035001,449035002</t>
  </si>
  <si>
    <t xml:space="preserve">575080751,575080752</t>
  </si>
  <si>
    <t xml:space="preserve">575080741,575080742</t>
  </si>
  <si>
    <t xml:space="preserve">575080731,575080732</t>
  </si>
  <si>
    <t xml:space="preserve">575080721,575080722</t>
  </si>
  <si>
    <t xml:space="preserve">575080711,575080712</t>
  </si>
  <si>
    <t xml:space="preserve">575080701,575080702</t>
  </si>
  <si>
    <t xml:space="preserve">575090741,575090742</t>
  </si>
  <si>
    <t xml:space="preserve">575090731,575090732</t>
  </si>
  <si>
    <t xml:space="preserve">575090721,575090722</t>
  </si>
  <si>
    <t xml:space="preserve">575090711,575090712</t>
  </si>
  <si>
    <t xml:space="preserve">575090701,575090702</t>
  </si>
  <si>
    <t xml:space="preserve">575084721,575084722</t>
  </si>
  <si>
    <t xml:space="preserve">575084711,575084712</t>
  </si>
  <si>
    <t xml:space="preserve">575084701,575084702</t>
  </si>
  <si>
    <t xml:space="preserve">449021021,449021022</t>
  </si>
  <si>
    <t xml:space="preserve">449021011,449021012</t>
  </si>
  <si>
    <t xml:space="preserve">449021001,449021002</t>
  </si>
  <si>
    <t xml:space="preserve">449020001,449020002</t>
  </si>
  <si>
    <t xml:space="preserve">449020011,449020012</t>
  </si>
  <si>
    <t xml:space="preserve">Omenkiller Robe</t>
  </si>
  <si>
    <t xml:space="preserve">482000500,482000501,482000502</t>
  </si>
  <si>
    <t xml:space="preserve">48208030</t>
  </si>
  <si>
    <t xml:space="preserve">Prelate's Inferno Crozier</t>
  </si>
  <si>
    <t xml:space="preserve">391000704</t>
  </si>
  <si>
    <t xml:space="preserve">Rotten Battle Hammer</t>
  </si>
  <si>
    <t xml:space="preserve">340051300,340051301</t>
  </si>
  <si>
    <t xml:space="preserve">34001852</t>
  </si>
  <si>
    <t xml:space="preserve">Rotten Duelist Greaves</t>
  </si>
  <si>
    <t xml:space="preserve">340052100,340052101</t>
  </si>
  <si>
    <t xml:space="preserve">34000852</t>
  </si>
  <si>
    <t xml:space="preserve">Scadutree Fragment</t>
  </si>
  <si>
    <t xml:space="preserve">524080714,524080715</t>
  </si>
  <si>
    <t xml:space="preserve">524094714,524094715</t>
  </si>
  <si>
    <t xml:space="preserve">524080704,524080705</t>
  </si>
  <si>
    <t xml:space="preserve">524090704,524090705</t>
  </si>
  <si>
    <t xml:space="preserve">Smoldering Butterfly</t>
  </si>
  <si>
    <t xml:space="preserve">446002001,446002002</t>
  </si>
  <si>
    <t xml:space="preserve">446032011,446032012</t>
  </si>
  <si>
    <t xml:space="preserve">446032001,446032002</t>
  </si>
  <si>
    <t xml:space="preserve">446032021,446032022</t>
  </si>
  <si>
    <t xml:space="preserve">446002021,446002022</t>
  </si>
  <si>
    <t xml:space="preserve">446002011,446002012</t>
  </si>
  <si>
    <t xml:space="preserve">446040021,446040022</t>
  </si>
  <si>
    <t xml:space="preserve">446040001,446040002</t>
  </si>
  <si>
    <t xml:space="preserve">446040011,446040012</t>
  </si>
  <si>
    <t xml:space="preserve">446040031,446040032</t>
  </si>
  <si>
    <t xml:space="preserve">446040051,446040052</t>
  </si>
  <si>
    <t xml:space="preserve">446040041,446040042</t>
  </si>
  <si>
    <t xml:space="preserve">Somber Smithing Stone [2]</t>
  </si>
  <si>
    <t xml:space="preserve">424020000</t>
  </si>
  <si>
    <t xml:space="preserve">42407020</t>
  </si>
  <si>
    <t xml:space="preserve">424021160</t>
  </si>
  <si>
    <t xml:space="preserve">42408821</t>
  </si>
  <si>
    <t xml:space="preserve">424021150</t>
  </si>
  <si>
    <t xml:space="preserve">42408521</t>
  </si>
  <si>
    <t xml:space="preserve">424021140</t>
  </si>
  <si>
    <t xml:space="preserve">42408421</t>
  </si>
  <si>
    <t xml:space="preserve">424021130</t>
  </si>
  <si>
    <t xml:space="preserve">42408321</t>
  </si>
  <si>
    <t xml:space="preserve">424021120</t>
  </si>
  <si>
    <t xml:space="preserve">42408221</t>
  </si>
  <si>
    <t xml:space="preserve">424021110</t>
  </si>
  <si>
    <t xml:space="preserve">42408121</t>
  </si>
  <si>
    <t xml:space="preserve">424021100</t>
  </si>
  <si>
    <t xml:space="preserve">42408021</t>
  </si>
  <si>
    <t xml:space="preserve">424021090</t>
  </si>
  <si>
    <t xml:space="preserve">42407821</t>
  </si>
  <si>
    <t xml:space="preserve">424021080</t>
  </si>
  <si>
    <t xml:space="preserve">42407721</t>
  </si>
  <si>
    <t xml:space="preserve">424021070</t>
  </si>
  <si>
    <t xml:space="preserve">42407621</t>
  </si>
  <si>
    <t xml:space="preserve">424021060</t>
  </si>
  <si>
    <t xml:space="preserve">42407521</t>
  </si>
  <si>
    <t xml:space="preserve">424021050</t>
  </si>
  <si>
    <t xml:space="preserve">42407421</t>
  </si>
  <si>
    <t xml:space="preserve">424021040</t>
  </si>
  <si>
    <t xml:space="preserve">42407321</t>
  </si>
  <si>
    <t xml:space="preserve">424021030</t>
  </si>
  <si>
    <t xml:space="preserve">42407221</t>
  </si>
  <si>
    <t xml:space="preserve">424021020</t>
  </si>
  <si>
    <t xml:space="preserve">42407121</t>
  </si>
  <si>
    <t xml:space="preserve">424021010</t>
  </si>
  <si>
    <t xml:space="preserve">42407021</t>
  </si>
  <si>
    <t xml:space="preserve">Somber Smithing Stone [4]</t>
  </si>
  <si>
    <t xml:space="preserve">424032000</t>
  </si>
  <si>
    <t xml:space="preserve">42407032</t>
  </si>
  <si>
    <t xml:space="preserve">424032010</t>
  </si>
  <si>
    <t xml:space="preserve">42407132</t>
  </si>
  <si>
    <t xml:space="preserve">424050010</t>
  </si>
  <si>
    <t xml:space="preserve">42405150</t>
  </si>
  <si>
    <t xml:space="preserve">424050000</t>
  </si>
  <si>
    <t xml:space="preserve">42405050</t>
  </si>
  <si>
    <t xml:space="preserve">424050060</t>
  </si>
  <si>
    <t xml:space="preserve">42405650</t>
  </si>
  <si>
    <t xml:space="preserve">424050050</t>
  </si>
  <si>
    <t xml:space="preserve">42405550</t>
  </si>
  <si>
    <t xml:space="preserve">424050040</t>
  </si>
  <si>
    <t xml:space="preserve">42405450</t>
  </si>
  <si>
    <t xml:space="preserve">424050030</t>
  </si>
  <si>
    <t xml:space="preserve">42405350</t>
  </si>
  <si>
    <t xml:space="preserve">424050020</t>
  </si>
  <si>
    <t xml:space="preserve">42405250</t>
  </si>
  <si>
    <t xml:space="preserve">424050100</t>
  </si>
  <si>
    <t xml:space="preserve">42406250</t>
  </si>
  <si>
    <t xml:space="preserve">424050090</t>
  </si>
  <si>
    <t xml:space="preserve">42406150</t>
  </si>
  <si>
    <t xml:space="preserve">424050080</t>
  </si>
  <si>
    <t xml:space="preserve">42405850</t>
  </si>
  <si>
    <t xml:space="preserve">424050070</t>
  </si>
  <si>
    <t xml:space="preserve">42405750</t>
  </si>
  <si>
    <t xml:space="preserve">424050120</t>
  </si>
  <si>
    <t xml:space="preserve">42406450</t>
  </si>
  <si>
    <t xml:space="preserve">424050110</t>
  </si>
  <si>
    <t xml:space="preserve">42406350</t>
  </si>
  <si>
    <t xml:space="preserve">Troll Knight's Sword</t>
  </si>
  <si>
    <t xml:space="preserve">460021400</t>
  </si>
  <si>
    <t xml:space="preserve">46018021</t>
  </si>
  <si>
    <t xml:space="preserve">Hero's Graves (Catacombs)</t>
  </si>
  <si>
    <t xml:space="preserve">Bloodhound Knight Helm</t>
  </si>
  <si>
    <t xml:space="preserve">429000800,429000801,429000802,429000803</t>
  </si>
  <si>
    <t xml:space="preserve">42900132</t>
  </si>
  <si>
    <t xml:space="preserve">402030021</t>
  </si>
  <si>
    <t xml:space="preserve">402030011</t>
  </si>
  <si>
    <t xml:space="preserve">402030001</t>
  </si>
  <si>
    <t xml:space="preserve">Mantis Blade</t>
  </si>
  <si>
    <t xml:space="preserve">366400700</t>
  </si>
  <si>
    <t xml:space="preserve">36640032</t>
  </si>
  <si>
    <t xml:space="preserve">Land of Shadow (DLC)</t>
  </si>
  <si>
    <t xml:space="preserve">Blessed Bone Shard</t>
  </si>
  <si>
    <t xml:space="preserve">598000700</t>
  </si>
  <si>
    <t xml:space="preserve">59809090</t>
  </si>
  <si>
    <t xml:space="preserve">598000710</t>
  </si>
  <si>
    <t xml:space="preserve">59809190</t>
  </si>
  <si>
    <t xml:space="preserve">Bloodfiend's Arm</t>
  </si>
  <si>
    <t xml:space="preserve">508000702</t>
  </si>
  <si>
    <t xml:space="preserve">Bloodfiend's Sacred Spear</t>
  </si>
  <si>
    <t xml:space="preserve">508095202</t>
  </si>
  <si>
    <t xml:space="preserve">Broken Rune</t>
  </si>
  <si>
    <t xml:space="preserve">597000700,597000701,597000702</t>
  </si>
  <si>
    <t xml:space="preserve">59700190</t>
  </si>
  <si>
    <t xml:space="preserve">597000710,597000711,597000712</t>
  </si>
  <si>
    <t xml:space="preserve">59701290</t>
  </si>
  <si>
    <t xml:space="preserve">Fire Spritestone</t>
  </si>
  <si>
    <t xml:space="preserve">524095716</t>
  </si>
  <si>
    <t xml:space="preserve">Gaius's Greaves</t>
  </si>
  <si>
    <t xml:space="preserve">621000707,621000708</t>
  </si>
  <si>
    <t xml:space="preserve">Iris of Occultation</t>
  </si>
  <si>
    <t xml:space="preserve">598000720</t>
  </si>
  <si>
    <t xml:space="preserve">59809290</t>
  </si>
  <si>
    <t xml:space="preserve">Rauh Burrow</t>
  </si>
  <si>
    <t xml:space="preserve">524095705,524095706</t>
  </si>
  <si>
    <t xml:space="preserve">Revered Spirit Ash</t>
  </si>
  <si>
    <t xml:space="preserve">524094744,524094745</t>
  </si>
  <si>
    <t xml:space="preserve">524094734,524094735</t>
  </si>
  <si>
    <t xml:space="preserve">Sacred Bloody Flesh</t>
  </si>
  <si>
    <t xml:space="preserve">508100700</t>
  </si>
  <si>
    <t xml:space="preserve">50810194</t>
  </si>
  <si>
    <t xml:space="preserve">508100710</t>
  </si>
  <si>
    <t xml:space="preserve">50810195</t>
  </si>
  <si>
    <t xml:space="preserve">Smithing Stone [8]</t>
  </si>
  <si>
    <t xml:space="preserve">563000704</t>
  </si>
  <si>
    <t xml:space="preserve">Spirit Calculus</t>
  </si>
  <si>
    <t xml:space="preserve">524094724</t>
  </si>
  <si>
    <t xml:space="preserve">524094704</t>
  </si>
  <si>
    <t xml:space="preserve">Starlight Shards</t>
  </si>
  <si>
    <t xml:space="preserve">581000704</t>
  </si>
  <si>
    <t xml:space="preserve">Leyndell / Roundtable / Shunning-Grounds</t>
  </si>
  <si>
    <t xml:space="preserve">Gravel Stone Seal</t>
  </si>
  <si>
    <t xml:space="preserve">435300706</t>
  </si>
  <si>
    <t xml:space="preserve">Omensmirk Mask</t>
  </si>
  <si>
    <t xml:space="preserve">482000400</t>
  </si>
  <si>
    <t xml:space="preserve">48208034</t>
  </si>
  <si>
    <t xml:space="preserve">424034000</t>
  </si>
  <si>
    <t xml:space="preserve">42407034</t>
  </si>
  <si>
    <t xml:space="preserve">Liurnia of the Lakes</t>
  </si>
  <si>
    <t xml:space="preserve">LL/GTB: Smithing Stone [2] x3 - to S in gazebo E of HLT</t>
  </si>
  <si>
    <t xml:space="preserve">synthetic_areacode</t>
  </si>
  <si>
    <t xml:space="preserve">438100012</t>
  </si>
  <si>
    <t xml:space="preserve">Miquella's Haligtree &amp; Elphael</t>
  </si>
  <si>
    <t xml:space="preserve">Ghost Glovewort [9]</t>
  </si>
  <si>
    <t xml:space="preserve">402056001</t>
  </si>
  <si>
    <t xml:space="preserve">402056011</t>
  </si>
  <si>
    <t xml:space="preserve">402056021</t>
  </si>
  <si>
    <t xml:space="preserve">402056031</t>
  </si>
  <si>
    <t xml:space="preserve">402056041</t>
  </si>
  <si>
    <t xml:space="preserve">Mohgwyn / Consecrated-adjacent</t>
  </si>
  <si>
    <t xml:space="preserve">524088702,524088703</t>
  </si>
  <si>
    <t xml:space="preserve">532000701</t>
  </si>
  <si>
    <t xml:space="preserve">Raya Lucaria Academy</t>
  </si>
  <si>
    <t xml:space="preserve">[Sorcery] Gravity Well</t>
  </si>
  <si>
    <t xml:space="preserve">360000010</t>
  </si>
  <si>
    <t xml:space="preserve">36000024</t>
  </si>
  <si>
    <t xml:space="preserve">Scadu Altus (DLC)</t>
  </si>
  <si>
    <t xml:space="preserve">Antiquity Scholar's Cookbook [1]</t>
  </si>
  <si>
    <t xml:space="preserve">cookbook</t>
  </si>
  <si>
    <t xml:space="preserve">524095715</t>
  </si>
  <si>
    <t xml:space="preserve">Tunnels</t>
  </si>
  <si>
    <t xml:space="preserve">360000020</t>
  </si>
  <si>
    <t xml:space="preserve">36000052</t>
  </si>
  <si>
    <t xml:space="preserve">Volcano Manor / Mt. Gelmir</t>
  </si>
  <si>
    <t xml:space="preserve">Bloodhound Claws</t>
  </si>
  <si>
    <t xml:space="preserve">429000700</t>
  </si>
  <si>
    <t xml:space="preserve">42900138</t>
  </si>
  <si>
    <t xml:space="preserve">Great Omenkiller Cleaver</t>
  </si>
  <si>
    <t xml:space="preserve">482000600</t>
  </si>
  <si>
    <t xml:space="preserve">48208038</t>
  </si>
  <si>
    <t xml:space="preserve">482000700</t>
  </si>
  <si>
    <t xml:space="preserve">48208138</t>
  </si>
  <si>
    <t xml:space="preserve">m22</t>
  </si>
  <si>
    <t xml:space="preserve">559100701,559100702</t>
  </si>
  <si>
    <t xml:space="preserve">m28</t>
  </si>
  <si>
    <t xml:space="preserve">532000711</t>
  </si>
  <si>
    <t xml:space="preserve">Count</t>
  </si>
  <si>
    <t xml:space="preserve">Global</t>
  </si>
  <si>
    <t xml:space="preserve">Eternal Cities</t>
  </si>
  <si>
    <t xml:space="preserve">Miquella's Haligtree</t>
  </si>
  <si>
    <t xml:space="preserve">Leyndell</t>
  </si>
  <si>
    <t xml:space="preserve">Volcano Manor</t>
  </si>
  <si>
    <t xml:space="preserve">Mohgwyn</t>
  </si>
  <si>
    <t xml:space="preserve">TOTAL</t>
  </si>
  <si>
    <t xml:space="preserve">CAVEAT</t>
  </si>
  <si>
    <t xml:space="preserve">Tier 1 = ItemLotParam_enemy flagged drops joined to region_map (175). NOISY: 120 land in the</t>
  </si>
  <si>
    <t xml:space="preserve">'Global/scattered' bucket (not pinned to a boss spot), and includes non-healthbar enemies</t>
  </si>
  <si>
    <t xml:space="preserve">(Teardrop Scarabs -&gt; Larval Tears, etc.). Tier 2 filters to GameAreaParam boss-healthbar</t>
  </si>
  <si>
    <t xml:space="preserve">enemies via the MSB entity-&gt;NpcParam link. Mark real bosses in the Boss? column to seed Tier 2.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</si>
</sst>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2" t="s">
        <v>10</v>
      </c>
      <c r="D2" s="2" t="n">
        <v>31117990</v>
      </c>
      <c r="E2" s="2" t="s">
        <v>11</v>
      </c>
      <c r="F2" s="2" t="s">
        <v>12</v>
      </c>
      <c r="G2" s="2"/>
      <c r="H2" s="3"/>
    </row>
    <row r="3" customFormat="false" ht="15" hidden="false" customHeight="false" outlineLevel="0" collapsed="false">
      <c r="A3" s="2" t="s">
        <v>8</v>
      </c>
      <c r="B3" s="3" t="s">
        <v>13</v>
      </c>
      <c r="C3" s="2" t="s">
        <v>14</v>
      </c>
      <c r="D3" s="2" t="n">
        <v>31047990</v>
      </c>
      <c r="E3" s="2" t="s">
        <v>15</v>
      </c>
      <c r="F3" s="2" t="s">
        <v>16</v>
      </c>
      <c r="G3" s="2"/>
      <c r="H3" s="3"/>
    </row>
    <row r="4" customFormat="false" ht="15" hidden="false" customHeight="false" outlineLevel="0" collapsed="false">
      <c r="A4" s="2" t="s">
        <v>17</v>
      </c>
      <c r="B4" s="3" t="s">
        <v>18</v>
      </c>
      <c r="C4" s="2" t="s">
        <v>10</v>
      </c>
      <c r="D4" s="2" t="n">
        <v>35007995</v>
      </c>
      <c r="E4" s="2" t="s">
        <v>19</v>
      </c>
      <c r="F4" s="2" t="s">
        <v>12</v>
      </c>
      <c r="G4" s="2"/>
      <c r="H4" s="3"/>
    </row>
    <row r="5" customFormat="false" ht="15" hidden="false" customHeight="false" outlineLevel="0" collapsed="false">
      <c r="A5" s="2" t="s">
        <v>17</v>
      </c>
      <c r="B5" s="3" t="s">
        <v>20</v>
      </c>
      <c r="C5" s="2" t="s">
        <v>10</v>
      </c>
      <c r="D5" s="2" t="n">
        <v>35007990</v>
      </c>
      <c r="E5" s="2" t="s">
        <v>21</v>
      </c>
      <c r="F5" s="2" t="s">
        <v>12</v>
      </c>
      <c r="G5" s="2"/>
      <c r="H5" s="3"/>
    </row>
    <row r="6" customFormat="false" ht="15" hidden="false" customHeight="false" outlineLevel="0" collapsed="false">
      <c r="A6" s="2" t="s">
        <v>17</v>
      </c>
      <c r="B6" s="3" t="s">
        <v>22</v>
      </c>
      <c r="C6" s="2" t="s">
        <v>14</v>
      </c>
      <c r="D6" s="2" t="n">
        <v>35007993</v>
      </c>
      <c r="E6" s="2" t="s">
        <v>23</v>
      </c>
      <c r="F6" s="2" t="s">
        <v>24</v>
      </c>
      <c r="G6" s="2"/>
      <c r="H6" s="3"/>
    </row>
    <row r="7" customFormat="false" ht="15" hidden="false" customHeight="false" outlineLevel="0" collapsed="false">
      <c r="A7" s="2" t="s">
        <v>25</v>
      </c>
      <c r="B7" s="3" t="s">
        <v>26</v>
      </c>
      <c r="C7" s="2" t="s">
        <v>14</v>
      </c>
      <c r="D7" s="2" t="n">
        <v>12017999</v>
      </c>
      <c r="E7" s="2" t="s">
        <v>27</v>
      </c>
      <c r="F7" s="2" t="s">
        <v>28</v>
      </c>
      <c r="G7" s="2"/>
      <c r="H7" s="3"/>
    </row>
    <row r="8" customFormat="false" ht="15" hidden="false" customHeight="false" outlineLevel="0" collapsed="false">
      <c r="A8" s="2" t="s">
        <v>25</v>
      </c>
      <c r="B8" s="3" t="s">
        <v>29</v>
      </c>
      <c r="C8" s="2" t="s">
        <v>10</v>
      </c>
      <c r="D8" s="2" t="n">
        <v>12017992</v>
      </c>
      <c r="E8" s="2" t="s">
        <v>30</v>
      </c>
      <c r="F8" s="2" t="s">
        <v>12</v>
      </c>
      <c r="G8" s="2"/>
      <c r="H8" s="3"/>
    </row>
    <row r="9" customFormat="false" ht="15" hidden="false" customHeight="false" outlineLevel="0" collapsed="false">
      <c r="A9" s="2" t="s">
        <v>25</v>
      </c>
      <c r="B9" s="3" t="s">
        <v>31</v>
      </c>
      <c r="C9" s="2" t="s">
        <v>10</v>
      </c>
      <c r="D9" s="2" t="n">
        <v>12017965</v>
      </c>
      <c r="E9" s="2" t="s">
        <v>32</v>
      </c>
      <c r="F9" s="2" t="s">
        <v>12</v>
      </c>
      <c r="G9" s="2"/>
      <c r="H9" s="3"/>
    </row>
    <row r="10" customFormat="false" ht="15" hidden="false" customHeight="false" outlineLevel="0" collapsed="false">
      <c r="A10" s="2" t="s">
        <v>25</v>
      </c>
      <c r="B10" s="3" t="s">
        <v>31</v>
      </c>
      <c r="C10" s="2" t="s">
        <v>10</v>
      </c>
      <c r="D10" s="2" t="n">
        <v>12017975</v>
      </c>
      <c r="E10" s="2" t="s">
        <v>33</v>
      </c>
      <c r="F10" s="2" t="s">
        <v>12</v>
      </c>
      <c r="G10" s="2"/>
      <c r="H10" s="3"/>
    </row>
    <row r="11" customFormat="false" ht="15" hidden="false" customHeight="false" outlineLevel="0" collapsed="false">
      <c r="A11" s="2" t="s">
        <v>25</v>
      </c>
      <c r="B11" s="3" t="s">
        <v>31</v>
      </c>
      <c r="C11" s="2" t="s">
        <v>10</v>
      </c>
      <c r="D11" s="2" t="n">
        <v>12017985</v>
      </c>
      <c r="E11" s="2" t="s">
        <v>34</v>
      </c>
      <c r="F11" s="2" t="s">
        <v>12</v>
      </c>
      <c r="G11" s="2"/>
      <c r="H11" s="3"/>
    </row>
    <row r="12" customFormat="false" ht="15" hidden="false" customHeight="false" outlineLevel="0" collapsed="false">
      <c r="A12" s="2" t="s">
        <v>25</v>
      </c>
      <c r="B12" s="3" t="s">
        <v>31</v>
      </c>
      <c r="C12" s="2" t="s">
        <v>10</v>
      </c>
      <c r="D12" s="2" t="n">
        <v>12027985</v>
      </c>
      <c r="E12" s="2" t="s">
        <v>35</v>
      </c>
      <c r="F12" s="2" t="s">
        <v>12</v>
      </c>
      <c r="G12" s="2"/>
      <c r="H12" s="3"/>
    </row>
    <row r="13" customFormat="false" ht="15" hidden="false" customHeight="false" outlineLevel="0" collapsed="false">
      <c r="A13" s="2" t="s">
        <v>25</v>
      </c>
      <c r="B13" s="3" t="s">
        <v>36</v>
      </c>
      <c r="C13" s="2" t="s">
        <v>10</v>
      </c>
      <c r="D13" s="2" t="n">
        <v>12037990</v>
      </c>
      <c r="E13" s="2" t="s">
        <v>37</v>
      </c>
      <c r="F13" s="2" t="s">
        <v>12</v>
      </c>
      <c r="G13" s="2"/>
      <c r="H13" s="3"/>
    </row>
    <row r="14" customFormat="false" ht="15" hidden="false" customHeight="false" outlineLevel="0" collapsed="false">
      <c r="A14" s="2" t="s">
        <v>25</v>
      </c>
      <c r="B14" s="3" t="s">
        <v>38</v>
      </c>
      <c r="C14" s="2" t="s">
        <v>10</v>
      </c>
      <c r="D14" s="2" t="n">
        <v>12027995</v>
      </c>
      <c r="E14" s="2" t="s">
        <v>39</v>
      </c>
      <c r="F14" s="2" t="s">
        <v>12</v>
      </c>
      <c r="G14" s="2"/>
      <c r="H14" s="3"/>
    </row>
    <row r="15" customFormat="false" ht="15" hidden="false" customHeight="false" outlineLevel="0" collapsed="false">
      <c r="A15" s="4" t="s">
        <v>40</v>
      </c>
      <c r="B15" s="5"/>
      <c r="C15" s="4" t="s">
        <v>41</v>
      </c>
      <c r="D15" s="4" t="n">
        <v>53000700</v>
      </c>
      <c r="E15" s="4" t="s">
        <v>42</v>
      </c>
      <c r="F15" s="4" t="s">
        <v>12</v>
      </c>
      <c r="G15" s="6"/>
      <c r="H15" s="7"/>
    </row>
    <row r="16" customFormat="false" ht="15" hidden="false" customHeight="false" outlineLevel="0" collapsed="false">
      <c r="A16" s="4" t="s">
        <v>40</v>
      </c>
      <c r="B16" s="5" t="s">
        <v>43</v>
      </c>
      <c r="C16" s="4" t="s">
        <v>41</v>
      </c>
      <c r="D16" s="4" t="n">
        <v>1043397500</v>
      </c>
      <c r="E16" s="4" t="s">
        <v>44</v>
      </c>
      <c r="F16" s="4" t="s">
        <v>12</v>
      </c>
      <c r="G16" s="6"/>
      <c r="H16" s="7"/>
    </row>
    <row r="17" customFormat="false" ht="15" hidden="false" customHeight="false" outlineLevel="0" collapsed="false">
      <c r="A17" s="4" t="s">
        <v>40</v>
      </c>
      <c r="B17" s="5" t="s">
        <v>45</v>
      </c>
      <c r="C17" s="4" t="s">
        <v>41</v>
      </c>
      <c r="D17" s="4" t="n">
        <v>1043357500</v>
      </c>
      <c r="E17" s="4" t="s">
        <v>46</v>
      </c>
      <c r="F17" s="4" t="s">
        <v>47</v>
      </c>
      <c r="G17" s="6"/>
      <c r="H17" s="7"/>
    </row>
    <row r="18" customFormat="false" ht="15" hidden="false" customHeight="false" outlineLevel="0" collapsed="false">
      <c r="A18" s="4" t="s">
        <v>40</v>
      </c>
      <c r="B18" s="5" t="s">
        <v>48</v>
      </c>
      <c r="C18" s="4" t="s">
        <v>41</v>
      </c>
      <c r="D18" s="4" t="n">
        <v>18007700</v>
      </c>
      <c r="E18" s="4" t="s">
        <v>49</v>
      </c>
      <c r="F18" s="4" t="s">
        <v>50</v>
      </c>
      <c r="G18" s="6"/>
      <c r="H18" s="7"/>
    </row>
    <row r="19" customFormat="false" ht="15" hidden="false" customHeight="false" outlineLevel="0" collapsed="false">
      <c r="A19" s="4" t="s">
        <v>40</v>
      </c>
      <c r="B19" s="5" t="s">
        <v>51</v>
      </c>
      <c r="C19" s="4" t="s">
        <v>41</v>
      </c>
      <c r="D19" s="4" t="n">
        <v>1038447500</v>
      </c>
      <c r="E19" s="4" t="s">
        <v>52</v>
      </c>
      <c r="F19" s="4" t="s">
        <v>12</v>
      </c>
      <c r="G19" s="6"/>
      <c r="H19" s="7"/>
    </row>
    <row r="20" customFormat="false" ht="15" hidden="false" customHeight="false" outlineLevel="0" collapsed="false">
      <c r="A20" s="4" t="s">
        <v>53</v>
      </c>
      <c r="B20" s="5" t="s">
        <v>54</v>
      </c>
      <c r="C20" s="4" t="s">
        <v>55</v>
      </c>
      <c r="D20" s="4" t="n">
        <v>1035417980</v>
      </c>
      <c r="E20" s="4" t="s">
        <v>56</v>
      </c>
      <c r="F20" s="4" t="s">
        <v>12</v>
      </c>
      <c r="G20" s="6"/>
      <c r="H20" s="7"/>
    </row>
    <row r="21" customFormat="false" ht="15" hidden="false" customHeight="false" outlineLevel="0" collapsed="false">
      <c r="A21" s="4" t="s">
        <v>53</v>
      </c>
      <c r="B21" s="5" t="s">
        <v>54</v>
      </c>
      <c r="C21" s="4" t="s">
        <v>55</v>
      </c>
      <c r="D21" s="4" t="n">
        <v>1035417990</v>
      </c>
      <c r="E21" s="4" t="s">
        <v>57</v>
      </c>
      <c r="F21" s="4" t="s">
        <v>12</v>
      </c>
      <c r="G21" s="6"/>
      <c r="H21" s="7"/>
    </row>
    <row r="22" customFormat="false" ht="15" hidden="false" customHeight="false" outlineLevel="0" collapsed="false">
      <c r="A22" s="4" t="s">
        <v>53</v>
      </c>
      <c r="B22" s="5" t="s">
        <v>54</v>
      </c>
      <c r="C22" s="4" t="s">
        <v>55</v>
      </c>
      <c r="D22" s="4" t="n">
        <v>1037427990</v>
      </c>
      <c r="E22" s="4" t="s">
        <v>58</v>
      </c>
      <c r="F22" s="4" t="s">
        <v>12</v>
      </c>
      <c r="G22" s="6"/>
      <c r="H22" s="7"/>
    </row>
    <row r="23" customFormat="false" ht="15" hidden="false" customHeight="false" outlineLevel="0" collapsed="false">
      <c r="A23" s="4" t="s">
        <v>53</v>
      </c>
      <c r="B23" s="5" t="s">
        <v>9</v>
      </c>
      <c r="C23" s="4" t="s">
        <v>55</v>
      </c>
      <c r="D23" s="4" t="n">
        <v>1039547980</v>
      </c>
      <c r="E23" s="4" t="s">
        <v>59</v>
      </c>
      <c r="F23" s="4" t="s">
        <v>12</v>
      </c>
      <c r="G23" s="6"/>
      <c r="H23" s="7"/>
    </row>
    <row r="24" customFormat="false" ht="15" hidden="false" customHeight="false" outlineLevel="0" collapsed="false">
      <c r="A24" s="4" t="s">
        <v>53</v>
      </c>
      <c r="B24" s="5" t="s">
        <v>9</v>
      </c>
      <c r="C24" s="4" t="s">
        <v>55</v>
      </c>
      <c r="D24" s="4" t="n">
        <v>1039547990</v>
      </c>
      <c r="E24" s="4" t="s">
        <v>60</v>
      </c>
      <c r="F24" s="4" t="s">
        <v>12</v>
      </c>
      <c r="G24" s="6"/>
      <c r="H24" s="7"/>
    </row>
    <row r="25" customFormat="false" ht="15" hidden="false" customHeight="false" outlineLevel="0" collapsed="false">
      <c r="A25" s="4" t="s">
        <v>40</v>
      </c>
      <c r="B25" s="5" t="s">
        <v>61</v>
      </c>
      <c r="C25" s="4" t="s">
        <v>41</v>
      </c>
      <c r="D25" s="4" t="n">
        <v>1044367700</v>
      </c>
      <c r="E25" s="4" t="s">
        <v>62</v>
      </c>
      <c r="F25" s="4" t="s">
        <v>12</v>
      </c>
      <c r="G25" s="6"/>
      <c r="H25" s="7"/>
    </row>
    <row r="26" customFormat="false" ht="15" hidden="false" customHeight="false" outlineLevel="0" collapsed="false">
      <c r="A26" s="4" t="s">
        <v>53</v>
      </c>
      <c r="B26" s="5" t="s">
        <v>63</v>
      </c>
      <c r="C26" s="4" t="s">
        <v>55</v>
      </c>
      <c r="D26" s="4" t="n">
        <v>1039537750</v>
      </c>
      <c r="E26" s="4" t="s">
        <v>64</v>
      </c>
      <c r="F26" s="4" t="s">
        <v>12</v>
      </c>
      <c r="G26" s="6"/>
      <c r="H26" s="7"/>
    </row>
    <row r="27" customFormat="false" ht="15" hidden="false" customHeight="false" outlineLevel="0" collapsed="false">
      <c r="A27" s="4" t="s">
        <v>53</v>
      </c>
      <c r="B27" s="5" t="s">
        <v>63</v>
      </c>
      <c r="C27" s="4" t="s">
        <v>55</v>
      </c>
      <c r="D27" s="4" t="n">
        <v>1040547700</v>
      </c>
      <c r="E27" s="4" t="s">
        <v>65</v>
      </c>
      <c r="F27" s="4" t="s">
        <v>12</v>
      </c>
      <c r="G27" s="6"/>
      <c r="H27" s="7"/>
    </row>
    <row r="28" customFormat="false" ht="15" hidden="false" customHeight="false" outlineLevel="0" collapsed="false">
      <c r="A28" s="4" t="s">
        <v>53</v>
      </c>
      <c r="B28" s="5" t="s">
        <v>66</v>
      </c>
      <c r="C28" s="4" t="s">
        <v>55</v>
      </c>
      <c r="D28" s="4" t="n">
        <v>1043527700</v>
      </c>
      <c r="E28" s="4" t="s">
        <v>67</v>
      </c>
      <c r="F28" s="4" t="s">
        <v>12</v>
      </c>
      <c r="G28" s="6"/>
      <c r="H28" s="7"/>
    </row>
    <row r="29" customFormat="false" ht="15" hidden="false" customHeight="false" outlineLevel="0" collapsed="false">
      <c r="A29" s="4" t="s">
        <v>53</v>
      </c>
      <c r="B29" s="5" t="s">
        <v>68</v>
      </c>
      <c r="C29" s="4" t="s">
        <v>55</v>
      </c>
      <c r="D29" s="4" t="n">
        <v>1043527750</v>
      </c>
      <c r="E29" s="4" t="s">
        <v>69</v>
      </c>
      <c r="F29" s="4" t="s">
        <v>12</v>
      </c>
      <c r="G29" s="6"/>
      <c r="H29" s="7"/>
    </row>
    <row r="30" customFormat="false" ht="15" hidden="false" customHeight="false" outlineLevel="0" collapsed="false">
      <c r="A30" s="4" t="s">
        <v>53</v>
      </c>
      <c r="B30" s="5" t="s">
        <v>68</v>
      </c>
      <c r="C30" s="4" t="s">
        <v>55</v>
      </c>
      <c r="D30" s="4" t="n">
        <v>1043527760</v>
      </c>
      <c r="E30" s="4" t="s">
        <v>70</v>
      </c>
      <c r="F30" s="4" t="s">
        <v>12</v>
      </c>
      <c r="G30" s="6"/>
      <c r="H30" s="7"/>
    </row>
    <row r="31" customFormat="false" ht="15" hidden="false" customHeight="false" outlineLevel="0" collapsed="false">
      <c r="A31" s="4" t="s">
        <v>53</v>
      </c>
      <c r="B31" s="5" t="s">
        <v>13</v>
      </c>
      <c r="C31" s="4" t="s">
        <v>55</v>
      </c>
      <c r="D31" s="4" t="n">
        <v>39207970</v>
      </c>
      <c r="E31" s="4" t="s">
        <v>71</v>
      </c>
      <c r="F31" s="4" t="s">
        <v>72</v>
      </c>
      <c r="G31" s="6"/>
      <c r="H31" s="7"/>
    </row>
    <row r="32" customFormat="false" ht="15" hidden="false" customHeight="false" outlineLevel="0" collapsed="false">
      <c r="A32" s="4" t="s">
        <v>53</v>
      </c>
      <c r="B32" s="5" t="s">
        <v>13</v>
      </c>
      <c r="C32" s="4" t="s">
        <v>55</v>
      </c>
      <c r="D32" s="4" t="n">
        <v>39207980</v>
      </c>
      <c r="E32" s="4" t="s">
        <v>73</v>
      </c>
      <c r="F32" s="4" t="s">
        <v>74</v>
      </c>
      <c r="G32" s="6"/>
      <c r="H32" s="7"/>
    </row>
    <row r="33" customFormat="false" ht="15" hidden="false" customHeight="false" outlineLevel="0" collapsed="false">
      <c r="A33" s="4" t="s">
        <v>53</v>
      </c>
      <c r="B33" s="5" t="s">
        <v>13</v>
      </c>
      <c r="C33" s="4" t="s">
        <v>55</v>
      </c>
      <c r="D33" s="4" t="n">
        <v>39207990</v>
      </c>
      <c r="E33" s="4" t="s">
        <v>75</v>
      </c>
      <c r="F33" s="4" t="s">
        <v>76</v>
      </c>
      <c r="G33" s="6"/>
      <c r="H33" s="7"/>
    </row>
    <row r="34" customFormat="false" ht="15" hidden="false" customHeight="false" outlineLevel="0" collapsed="false">
      <c r="A34" s="4" t="s">
        <v>53</v>
      </c>
      <c r="B34" s="5" t="s">
        <v>13</v>
      </c>
      <c r="C34" s="4" t="s">
        <v>55</v>
      </c>
      <c r="D34" s="4" t="n">
        <v>1033457990</v>
      </c>
      <c r="E34" s="4" t="s">
        <v>77</v>
      </c>
      <c r="F34" s="4" t="s">
        <v>78</v>
      </c>
      <c r="G34" s="6"/>
      <c r="H34" s="7"/>
    </row>
    <row r="35" customFormat="false" ht="15" hidden="false" customHeight="false" outlineLevel="0" collapsed="false">
      <c r="A35" s="4" t="s">
        <v>53</v>
      </c>
      <c r="B35" s="5" t="s">
        <v>13</v>
      </c>
      <c r="C35" s="4" t="s">
        <v>55</v>
      </c>
      <c r="D35" s="4" t="n">
        <v>1043327990</v>
      </c>
      <c r="E35" s="4" t="s">
        <v>79</v>
      </c>
      <c r="F35" s="4" t="s">
        <v>80</v>
      </c>
      <c r="G35" s="6"/>
      <c r="H35" s="7"/>
    </row>
    <row r="36" customFormat="false" ht="15" hidden="false" customHeight="false" outlineLevel="0" collapsed="false">
      <c r="A36" s="4" t="s">
        <v>53</v>
      </c>
      <c r="B36" s="5" t="s">
        <v>81</v>
      </c>
      <c r="C36" s="4" t="s">
        <v>55</v>
      </c>
      <c r="D36" s="4" t="n">
        <v>1042527990</v>
      </c>
      <c r="E36" s="4" t="s">
        <v>82</v>
      </c>
      <c r="F36" s="4" t="s">
        <v>83</v>
      </c>
      <c r="G36" s="6"/>
      <c r="H36" s="7"/>
    </row>
    <row r="37" customFormat="false" ht="15" hidden="false" customHeight="false" outlineLevel="0" collapsed="false">
      <c r="A37" s="4" t="s">
        <v>53</v>
      </c>
      <c r="B37" s="5" t="s">
        <v>81</v>
      </c>
      <c r="C37" s="4" t="s">
        <v>55</v>
      </c>
      <c r="D37" s="4" t="n">
        <v>1050387950</v>
      </c>
      <c r="E37" s="4" t="s">
        <v>84</v>
      </c>
      <c r="F37" s="4" t="s">
        <v>85</v>
      </c>
      <c r="G37" s="6"/>
      <c r="H37" s="7"/>
    </row>
    <row r="38" customFormat="false" ht="15" hidden="false" customHeight="false" outlineLevel="0" collapsed="false">
      <c r="A38" s="4" t="s">
        <v>53</v>
      </c>
      <c r="B38" s="5" t="s">
        <v>81</v>
      </c>
      <c r="C38" s="4" t="s">
        <v>55</v>
      </c>
      <c r="D38" s="4" t="n">
        <v>1050387960</v>
      </c>
      <c r="E38" s="4" t="s">
        <v>86</v>
      </c>
      <c r="F38" s="4" t="s">
        <v>87</v>
      </c>
      <c r="G38" s="6"/>
      <c r="H38" s="7"/>
    </row>
    <row r="39" customFormat="false" ht="15" hidden="false" customHeight="false" outlineLevel="0" collapsed="false">
      <c r="A39" s="4" t="s">
        <v>53</v>
      </c>
      <c r="B39" s="5" t="s">
        <v>81</v>
      </c>
      <c r="C39" s="4" t="s">
        <v>55</v>
      </c>
      <c r="D39" s="4" t="n">
        <v>1050387970</v>
      </c>
      <c r="E39" s="4" t="s">
        <v>88</v>
      </c>
      <c r="F39" s="4" t="s">
        <v>89</v>
      </c>
      <c r="G39" s="6"/>
      <c r="H39" s="7"/>
    </row>
    <row r="40" customFormat="false" ht="15" hidden="false" customHeight="false" outlineLevel="0" collapsed="false">
      <c r="A40" s="4" t="s">
        <v>53</v>
      </c>
      <c r="B40" s="5" t="s">
        <v>81</v>
      </c>
      <c r="C40" s="4" t="s">
        <v>55</v>
      </c>
      <c r="D40" s="4" t="n">
        <v>1050387980</v>
      </c>
      <c r="E40" s="4" t="s">
        <v>90</v>
      </c>
      <c r="F40" s="4" t="s">
        <v>91</v>
      </c>
      <c r="G40" s="6"/>
      <c r="H40" s="7"/>
    </row>
    <row r="41" customFormat="false" ht="15" hidden="false" customHeight="false" outlineLevel="0" collapsed="false">
      <c r="A41" s="4" t="s">
        <v>53</v>
      </c>
      <c r="B41" s="5" t="s">
        <v>81</v>
      </c>
      <c r="C41" s="4" t="s">
        <v>55</v>
      </c>
      <c r="D41" s="4" t="n">
        <v>1050387990</v>
      </c>
      <c r="E41" s="4" t="s">
        <v>92</v>
      </c>
      <c r="F41" s="4" t="s">
        <v>93</v>
      </c>
      <c r="G41" s="6"/>
      <c r="H41" s="7"/>
    </row>
    <row r="42" customFormat="false" ht="15" hidden="false" customHeight="false" outlineLevel="0" collapsed="false">
      <c r="A42" s="4" t="s">
        <v>53</v>
      </c>
      <c r="B42" s="5" t="s">
        <v>81</v>
      </c>
      <c r="C42" s="4" t="s">
        <v>55</v>
      </c>
      <c r="D42" s="4" t="n">
        <v>1051357990</v>
      </c>
      <c r="E42" s="4" t="s">
        <v>94</v>
      </c>
      <c r="F42" s="4" t="s">
        <v>95</v>
      </c>
      <c r="G42" s="6"/>
      <c r="H42" s="7"/>
    </row>
    <row r="43" customFormat="false" ht="15" hidden="false" customHeight="false" outlineLevel="0" collapsed="false">
      <c r="A43" s="4" t="s">
        <v>53</v>
      </c>
      <c r="B43" s="5" t="s">
        <v>81</v>
      </c>
      <c r="C43" s="4" t="s">
        <v>55</v>
      </c>
      <c r="D43" s="4" t="n">
        <v>1051397960</v>
      </c>
      <c r="E43" s="4" t="s">
        <v>96</v>
      </c>
      <c r="F43" s="4" t="s">
        <v>97</v>
      </c>
      <c r="G43" s="6"/>
      <c r="H43" s="7"/>
    </row>
    <row r="44" customFormat="false" ht="15" hidden="false" customHeight="false" outlineLevel="0" collapsed="false">
      <c r="A44" s="4" t="s">
        <v>53</v>
      </c>
      <c r="B44" s="5" t="s">
        <v>81</v>
      </c>
      <c r="C44" s="4" t="s">
        <v>55</v>
      </c>
      <c r="D44" s="4" t="n">
        <v>1051397970</v>
      </c>
      <c r="E44" s="4" t="s">
        <v>98</v>
      </c>
      <c r="F44" s="4" t="s">
        <v>99</v>
      </c>
      <c r="G44" s="6"/>
      <c r="H44" s="7"/>
    </row>
    <row r="45" customFormat="false" ht="15" hidden="false" customHeight="false" outlineLevel="0" collapsed="false">
      <c r="A45" s="4" t="s">
        <v>53</v>
      </c>
      <c r="B45" s="5" t="s">
        <v>81</v>
      </c>
      <c r="C45" s="4" t="s">
        <v>55</v>
      </c>
      <c r="D45" s="4" t="n">
        <v>1051397980</v>
      </c>
      <c r="E45" s="4" t="s">
        <v>100</v>
      </c>
      <c r="F45" s="4" t="s">
        <v>101</v>
      </c>
      <c r="G45" s="6"/>
      <c r="H45" s="7"/>
    </row>
    <row r="46" customFormat="false" ht="15" hidden="false" customHeight="false" outlineLevel="0" collapsed="false">
      <c r="A46" s="4" t="s">
        <v>53</v>
      </c>
      <c r="B46" s="5" t="s">
        <v>81</v>
      </c>
      <c r="C46" s="4" t="s">
        <v>55</v>
      </c>
      <c r="D46" s="4" t="n">
        <v>1051397990</v>
      </c>
      <c r="E46" s="4" t="s">
        <v>102</v>
      </c>
      <c r="F46" s="4" t="s">
        <v>103</v>
      </c>
      <c r="G46" s="6"/>
      <c r="H46" s="7"/>
    </row>
    <row r="47" customFormat="false" ht="15" hidden="false" customHeight="false" outlineLevel="0" collapsed="false">
      <c r="A47" s="4" t="s">
        <v>53</v>
      </c>
      <c r="B47" s="5" t="s">
        <v>104</v>
      </c>
      <c r="C47" s="4" t="s">
        <v>55</v>
      </c>
      <c r="D47" s="4" t="n">
        <v>40027900</v>
      </c>
      <c r="E47" s="4" t="s">
        <v>105</v>
      </c>
      <c r="F47" s="4" t="s">
        <v>106</v>
      </c>
      <c r="G47" s="6"/>
      <c r="H47" s="7"/>
    </row>
    <row r="48" customFormat="false" ht="15" hidden="false" customHeight="false" outlineLevel="0" collapsed="false">
      <c r="A48" s="4" t="s">
        <v>40</v>
      </c>
      <c r="B48" s="5" t="s">
        <v>107</v>
      </c>
      <c r="C48" s="4" t="s">
        <v>41</v>
      </c>
      <c r="D48" s="4" t="n">
        <v>1040557700</v>
      </c>
      <c r="E48" s="4" t="s">
        <v>108</v>
      </c>
      <c r="F48" s="4" t="s">
        <v>12</v>
      </c>
      <c r="G48" s="6"/>
      <c r="H48" s="7"/>
    </row>
    <row r="49" customFormat="false" ht="15" hidden="false" customHeight="false" outlineLevel="0" collapsed="false">
      <c r="A49" s="4" t="s">
        <v>53</v>
      </c>
      <c r="B49" s="5" t="s">
        <v>109</v>
      </c>
      <c r="C49" s="4" t="s">
        <v>55</v>
      </c>
      <c r="D49" s="4" t="n">
        <v>10007082</v>
      </c>
      <c r="E49" s="4" t="s">
        <v>110</v>
      </c>
      <c r="F49" s="4" t="s">
        <v>12</v>
      </c>
      <c r="G49" s="6"/>
      <c r="H49" s="7"/>
    </row>
    <row r="50" customFormat="false" ht="15" hidden="false" customHeight="false" outlineLevel="0" collapsed="false">
      <c r="A50" s="4" t="s">
        <v>53</v>
      </c>
      <c r="B50" s="5" t="s">
        <v>109</v>
      </c>
      <c r="C50" s="4" t="s">
        <v>55</v>
      </c>
      <c r="D50" s="4" t="n">
        <v>14007997</v>
      </c>
      <c r="E50" s="4" t="s">
        <v>111</v>
      </c>
      <c r="F50" s="4" t="s">
        <v>12</v>
      </c>
      <c r="G50" s="6"/>
      <c r="H50" s="7"/>
    </row>
    <row r="51" customFormat="false" ht="15" hidden="false" customHeight="false" outlineLevel="0" collapsed="false">
      <c r="A51" s="4" t="s">
        <v>53</v>
      </c>
      <c r="B51" s="5" t="s">
        <v>109</v>
      </c>
      <c r="C51" s="4" t="s">
        <v>55</v>
      </c>
      <c r="D51" s="4" t="n">
        <v>16007930</v>
      </c>
      <c r="E51" s="4" t="s">
        <v>112</v>
      </c>
      <c r="F51" s="4" t="s">
        <v>12</v>
      </c>
      <c r="G51" s="6"/>
      <c r="H51" s="7"/>
    </row>
    <row r="52" customFormat="false" ht="15" hidden="false" customHeight="false" outlineLevel="0" collapsed="false">
      <c r="A52" s="4" t="s">
        <v>53</v>
      </c>
      <c r="B52" s="5" t="s">
        <v>109</v>
      </c>
      <c r="C52" s="4" t="s">
        <v>55</v>
      </c>
      <c r="D52" s="4" t="n">
        <v>21027985</v>
      </c>
      <c r="E52" s="4" t="s">
        <v>113</v>
      </c>
      <c r="F52" s="4" t="s">
        <v>12</v>
      </c>
      <c r="G52" s="6"/>
      <c r="H52" s="7"/>
    </row>
    <row r="53" customFormat="false" ht="15" hidden="false" customHeight="false" outlineLevel="0" collapsed="false">
      <c r="A53" s="4" t="s">
        <v>53</v>
      </c>
      <c r="B53" s="5" t="s">
        <v>109</v>
      </c>
      <c r="C53" s="4" t="s">
        <v>55</v>
      </c>
      <c r="D53" s="4" t="n">
        <v>30137960</v>
      </c>
      <c r="E53" s="4" t="s">
        <v>114</v>
      </c>
      <c r="F53" s="4" t="s">
        <v>12</v>
      </c>
      <c r="G53" s="6"/>
      <c r="H53" s="7"/>
    </row>
    <row r="54" customFormat="false" ht="15" hidden="false" customHeight="false" outlineLevel="0" collapsed="false">
      <c r="A54" s="4" t="s">
        <v>53</v>
      </c>
      <c r="B54" s="5" t="s">
        <v>109</v>
      </c>
      <c r="C54" s="4" t="s">
        <v>55</v>
      </c>
      <c r="D54" s="4" t="n">
        <v>30137970</v>
      </c>
      <c r="E54" s="4" t="s">
        <v>115</v>
      </c>
      <c r="F54" s="4" t="s">
        <v>12</v>
      </c>
      <c r="G54" s="6"/>
      <c r="H54" s="7"/>
    </row>
    <row r="55" customFormat="false" ht="15" hidden="false" customHeight="false" outlineLevel="0" collapsed="false">
      <c r="A55" s="4" t="s">
        <v>53</v>
      </c>
      <c r="B55" s="5" t="s">
        <v>109</v>
      </c>
      <c r="C55" s="4" t="s">
        <v>55</v>
      </c>
      <c r="D55" s="4" t="n">
        <v>30137980</v>
      </c>
      <c r="E55" s="4" t="s">
        <v>116</v>
      </c>
      <c r="F55" s="4" t="s">
        <v>12</v>
      </c>
      <c r="G55" s="6"/>
      <c r="H55" s="7"/>
    </row>
    <row r="56" customFormat="false" ht="15" hidden="false" customHeight="false" outlineLevel="0" collapsed="false">
      <c r="A56" s="4" t="s">
        <v>53</v>
      </c>
      <c r="B56" s="5" t="s">
        <v>109</v>
      </c>
      <c r="C56" s="4" t="s">
        <v>55</v>
      </c>
      <c r="D56" s="4" t="n">
        <v>30137990</v>
      </c>
      <c r="E56" s="4" t="s">
        <v>117</v>
      </c>
      <c r="F56" s="4" t="s">
        <v>12</v>
      </c>
      <c r="G56" s="6"/>
      <c r="H56" s="7"/>
    </row>
    <row r="57" customFormat="false" ht="15" hidden="false" customHeight="false" outlineLevel="0" collapsed="false">
      <c r="A57" s="4" t="s">
        <v>53</v>
      </c>
      <c r="B57" s="5" t="s">
        <v>109</v>
      </c>
      <c r="C57" s="4" t="s">
        <v>55</v>
      </c>
      <c r="D57" s="4" t="n">
        <v>30187950</v>
      </c>
      <c r="E57" s="4" t="s">
        <v>118</v>
      </c>
      <c r="F57" s="4" t="s">
        <v>12</v>
      </c>
      <c r="G57" s="6"/>
      <c r="H57" s="7"/>
    </row>
    <row r="58" customFormat="false" ht="15" hidden="false" customHeight="false" outlineLevel="0" collapsed="false">
      <c r="A58" s="4" t="s">
        <v>53</v>
      </c>
      <c r="B58" s="5" t="s">
        <v>109</v>
      </c>
      <c r="C58" s="4" t="s">
        <v>55</v>
      </c>
      <c r="D58" s="4" t="n">
        <v>30187960</v>
      </c>
      <c r="E58" s="4" t="s">
        <v>119</v>
      </c>
      <c r="F58" s="4" t="s">
        <v>12</v>
      </c>
      <c r="G58" s="6"/>
      <c r="H58" s="7"/>
    </row>
    <row r="59" customFormat="false" ht="15" hidden="false" customHeight="false" outlineLevel="0" collapsed="false">
      <c r="A59" s="4" t="s">
        <v>53</v>
      </c>
      <c r="B59" s="5" t="s">
        <v>109</v>
      </c>
      <c r="C59" s="4" t="s">
        <v>55</v>
      </c>
      <c r="D59" s="4" t="n">
        <v>30187970</v>
      </c>
      <c r="E59" s="4" t="s">
        <v>120</v>
      </c>
      <c r="F59" s="4" t="s">
        <v>12</v>
      </c>
      <c r="G59" s="6"/>
      <c r="H59" s="7"/>
    </row>
    <row r="60" customFormat="false" ht="15" hidden="false" customHeight="false" outlineLevel="0" collapsed="false">
      <c r="A60" s="4" t="s">
        <v>53</v>
      </c>
      <c r="B60" s="5" t="s">
        <v>109</v>
      </c>
      <c r="C60" s="4" t="s">
        <v>55</v>
      </c>
      <c r="D60" s="4" t="n">
        <v>30187980</v>
      </c>
      <c r="E60" s="4" t="s">
        <v>121</v>
      </c>
      <c r="F60" s="4" t="s">
        <v>12</v>
      </c>
      <c r="G60" s="6"/>
      <c r="H60" s="7"/>
    </row>
    <row r="61" customFormat="false" ht="15" hidden="false" customHeight="false" outlineLevel="0" collapsed="false">
      <c r="A61" s="4" t="s">
        <v>53</v>
      </c>
      <c r="B61" s="5" t="s">
        <v>109</v>
      </c>
      <c r="C61" s="4" t="s">
        <v>55</v>
      </c>
      <c r="D61" s="4" t="n">
        <v>30187990</v>
      </c>
      <c r="E61" s="4" t="s">
        <v>122</v>
      </c>
      <c r="F61" s="4" t="s">
        <v>12</v>
      </c>
      <c r="G61" s="6"/>
      <c r="H61" s="7"/>
    </row>
    <row r="62" customFormat="false" ht="15" hidden="false" customHeight="false" outlineLevel="0" collapsed="false">
      <c r="A62" s="4" t="s">
        <v>53</v>
      </c>
      <c r="B62" s="5" t="s">
        <v>109</v>
      </c>
      <c r="C62" s="4" t="s">
        <v>55</v>
      </c>
      <c r="D62" s="4" t="n">
        <v>35007997</v>
      </c>
      <c r="E62" s="4" t="s">
        <v>123</v>
      </c>
      <c r="F62" s="4" t="s">
        <v>12</v>
      </c>
      <c r="G62" s="6"/>
      <c r="H62" s="7"/>
    </row>
    <row r="63" customFormat="false" ht="15" hidden="false" customHeight="false" outlineLevel="0" collapsed="false">
      <c r="A63" s="4" t="s">
        <v>53</v>
      </c>
      <c r="B63" s="5" t="s">
        <v>109</v>
      </c>
      <c r="C63" s="4" t="s">
        <v>55</v>
      </c>
      <c r="D63" s="4" t="n">
        <v>41007970</v>
      </c>
      <c r="E63" s="4" t="s">
        <v>124</v>
      </c>
      <c r="F63" s="4" t="s">
        <v>12</v>
      </c>
      <c r="G63" s="6"/>
      <c r="H63" s="7"/>
    </row>
    <row r="64" customFormat="false" ht="15" hidden="false" customHeight="false" outlineLevel="0" collapsed="false">
      <c r="A64" s="4" t="s">
        <v>53</v>
      </c>
      <c r="B64" s="5" t="s">
        <v>109</v>
      </c>
      <c r="C64" s="4" t="s">
        <v>55</v>
      </c>
      <c r="D64" s="4" t="n">
        <v>41007975</v>
      </c>
      <c r="E64" s="4" t="s">
        <v>125</v>
      </c>
      <c r="F64" s="4" t="s">
        <v>12</v>
      </c>
      <c r="G64" s="6"/>
      <c r="H64" s="7"/>
    </row>
    <row r="65" customFormat="false" ht="15" hidden="false" customHeight="false" outlineLevel="0" collapsed="false">
      <c r="A65" s="4" t="s">
        <v>53</v>
      </c>
      <c r="B65" s="5" t="s">
        <v>109</v>
      </c>
      <c r="C65" s="4" t="s">
        <v>55</v>
      </c>
      <c r="D65" s="4" t="n">
        <v>41007980</v>
      </c>
      <c r="E65" s="4" t="s">
        <v>126</v>
      </c>
      <c r="F65" s="4" t="s">
        <v>12</v>
      </c>
      <c r="G65" s="6"/>
      <c r="H65" s="7"/>
    </row>
    <row r="66" customFormat="false" ht="15" hidden="false" customHeight="false" outlineLevel="0" collapsed="false">
      <c r="A66" s="4" t="s">
        <v>53</v>
      </c>
      <c r="B66" s="5" t="s">
        <v>109</v>
      </c>
      <c r="C66" s="4" t="s">
        <v>55</v>
      </c>
      <c r="D66" s="4" t="n">
        <v>41007985</v>
      </c>
      <c r="E66" s="4" t="s">
        <v>127</v>
      </c>
      <c r="F66" s="4" t="s">
        <v>12</v>
      </c>
      <c r="G66" s="6"/>
      <c r="H66" s="7"/>
    </row>
    <row r="67" customFormat="false" ht="15" hidden="false" customHeight="false" outlineLevel="0" collapsed="false">
      <c r="A67" s="4" t="s">
        <v>53</v>
      </c>
      <c r="B67" s="5" t="s">
        <v>109</v>
      </c>
      <c r="C67" s="4" t="s">
        <v>55</v>
      </c>
      <c r="D67" s="4" t="n">
        <v>41007990</v>
      </c>
      <c r="E67" s="4" t="s">
        <v>128</v>
      </c>
      <c r="F67" s="4" t="s">
        <v>12</v>
      </c>
      <c r="G67" s="6"/>
      <c r="H67" s="7"/>
    </row>
    <row r="68" customFormat="false" ht="15" hidden="false" customHeight="false" outlineLevel="0" collapsed="false">
      <c r="A68" s="4" t="s">
        <v>53</v>
      </c>
      <c r="B68" s="5" t="s">
        <v>109</v>
      </c>
      <c r="C68" s="4" t="s">
        <v>55</v>
      </c>
      <c r="D68" s="4" t="n">
        <v>41007995</v>
      </c>
      <c r="E68" s="4" t="s">
        <v>129</v>
      </c>
      <c r="F68" s="4" t="s">
        <v>12</v>
      </c>
      <c r="G68" s="6"/>
      <c r="H68" s="7"/>
    </row>
    <row r="69" customFormat="false" ht="15" hidden="false" customHeight="false" outlineLevel="0" collapsed="false">
      <c r="A69" s="4" t="s">
        <v>53</v>
      </c>
      <c r="B69" s="5" t="s">
        <v>109</v>
      </c>
      <c r="C69" s="4" t="s">
        <v>55</v>
      </c>
      <c r="D69" s="4" t="n">
        <v>41017975</v>
      </c>
      <c r="E69" s="4" t="s">
        <v>130</v>
      </c>
      <c r="F69" s="4" t="s">
        <v>12</v>
      </c>
      <c r="G69" s="6"/>
      <c r="H69" s="7"/>
    </row>
    <row r="70" customFormat="false" ht="15" hidden="false" customHeight="false" outlineLevel="0" collapsed="false">
      <c r="A70" s="4" t="s">
        <v>53</v>
      </c>
      <c r="B70" s="5" t="s">
        <v>109</v>
      </c>
      <c r="C70" s="4" t="s">
        <v>55</v>
      </c>
      <c r="D70" s="4" t="n">
        <v>41017980</v>
      </c>
      <c r="E70" s="4" t="s">
        <v>131</v>
      </c>
      <c r="F70" s="4" t="s">
        <v>12</v>
      </c>
      <c r="G70" s="6"/>
      <c r="H70" s="7"/>
    </row>
    <row r="71" customFormat="false" ht="15" hidden="false" customHeight="false" outlineLevel="0" collapsed="false">
      <c r="A71" s="4" t="s">
        <v>53</v>
      </c>
      <c r="B71" s="5" t="s">
        <v>109</v>
      </c>
      <c r="C71" s="4" t="s">
        <v>55</v>
      </c>
      <c r="D71" s="4" t="n">
        <v>41017985</v>
      </c>
      <c r="E71" s="4" t="s">
        <v>132</v>
      </c>
      <c r="F71" s="4" t="s">
        <v>12</v>
      </c>
      <c r="G71" s="6"/>
      <c r="H71" s="7"/>
    </row>
    <row r="72" customFormat="false" ht="15" hidden="false" customHeight="false" outlineLevel="0" collapsed="false">
      <c r="A72" s="4" t="s">
        <v>53</v>
      </c>
      <c r="B72" s="5" t="s">
        <v>109</v>
      </c>
      <c r="C72" s="4" t="s">
        <v>55</v>
      </c>
      <c r="D72" s="4" t="n">
        <v>41017990</v>
      </c>
      <c r="E72" s="4" t="s">
        <v>133</v>
      </c>
      <c r="F72" s="4" t="s">
        <v>12</v>
      </c>
      <c r="G72" s="6"/>
      <c r="H72" s="7"/>
    </row>
    <row r="73" customFormat="false" ht="15" hidden="false" customHeight="false" outlineLevel="0" collapsed="false">
      <c r="A73" s="4" t="s">
        <v>53</v>
      </c>
      <c r="B73" s="5" t="s">
        <v>109</v>
      </c>
      <c r="C73" s="4" t="s">
        <v>55</v>
      </c>
      <c r="D73" s="4" t="n">
        <v>41017995</v>
      </c>
      <c r="E73" s="4" t="s">
        <v>134</v>
      </c>
      <c r="F73" s="4" t="s">
        <v>12</v>
      </c>
      <c r="G73" s="6"/>
      <c r="H73" s="7"/>
    </row>
    <row r="74" customFormat="false" ht="15" hidden="false" customHeight="false" outlineLevel="0" collapsed="false">
      <c r="A74" s="4" t="s">
        <v>53</v>
      </c>
      <c r="B74" s="5" t="s">
        <v>109</v>
      </c>
      <c r="C74" s="4" t="s">
        <v>55</v>
      </c>
      <c r="D74" s="4" t="n">
        <v>41027985</v>
      </c>
      <c r="E74" s="4" t="s">
        <v>135</v>
      </c>
      <c r="F74" s="4" t="s">
        <v>12</v>
      </c>
      <c r="G74" s="6"/>
      <c r="H74" s="7"/>
    </row>
    <row r="75" customFormat="false" ht="15" hidden="false" customHeight="false" outlineLevel="0" collapsed="false">
      <c r="A75" s="4" t="s">
        <v>53</v>
      </c>
      <c r="B75" s="5" t="s">
        <v>109</v>
      </c>
      <c r="C75" s="4" t="s">
        <v>55</v>
      </c>
      <c r="D75" s="4" t="n">
        <v>41027990</v>
      </c>
      <c r="E75" s="4" t="s">
        <v>136</v>
      </c>
      <c r="F75" s="4" t="s">
        <v>12</v>
      </c>
      <c r="G75" s="6"/>
      <c r="H75" s="7"/>
    </row>
    <row r="76" customFormat="false" ht="15" hidden="false" customHeight="false" outlineLevel="0" collapsed="false">
      <c r="A76" s="4" t="s">
        <v>53</v>
      </c>
      <c r="B76" s="5" t="s">
        <v>109</v>
      </c>
      <c r="C76" s="4" t="s">
        <v>55</v>
      </c>
      <c r="D76" s="4" t="n">
        <v>41027995</v>
      </c>
      <c r="E76" s="4" t="s">
        <v>137</v>
      </c>
      <c r="F76" s="4" t="s">
        <v>12</v>
      </c>
      <c r="G76" s="6"/>
      <c r="H76" s="7"/>
    </row>
    <row r="77" customFormat="false" ht="15" hidden="false" customHeight="false" outlineLevel="0" collapsed="false">
      <c r="A77" s="4" t="s">
        <v>53</v>
      </c>
      <c r="B77" s="5" t="s">
        <v>109</v>
      </c>
      <c r="C77" s="4" t="s">
        <v>55</v>
      </c>
      <c r="D77" s="4" t="n">
        <v>1035507610</v>
      </c>
      <c r="E77" s="4" t="s">
        <v>138</v>
      </c>
      <c r="F77" s="4" t="s">
        <v>12</v>
      </c>
      <c r="G77" s="6"/>
      <c r="H77" s="7"/>
    </row>
    <row r="78" customFormat="false" ht="15" hidden="false" customHeight="false" outlineLevel="0" collapsed="false">
      <c r="A78" s="4" t="s">
        <v>53</v>
      </c>
      <c r="B78" s="5" t="s">
        <v>109</v>
      </c>
      <c r="C78" s="4" t="s">
        <v>55</v>
      </c>
      <c r="D78" s="4" t="n">
        <v>1035507620</v>
      </c>
      <c r="E78" s="4" t="s">
        <v>139</v>
      </c>
      <c r="F78" s="4" t="s">
        <v>12</v>
      </c>
      <c r="G78" s="6"/>
      <c r="H78" s="7"/>
    </row>
    <row r="79" customFormat="false" ht="15" hidden="false" customHeight="false" outlineLevel="0" collapsed="false">
      <c r="A79" s="4" t="s">
        <v>53</v>
      </c>
      <c r="B79" s="5" t="s">
        <v>109</v>
      </c>
      <c r="C79" s="4" t="s">
        <v>55</v>
      </c>
      <c r="D79" s="4" t="n">
        <v>1035507630</v>
      </c>
      <c r="E79" s="4" t="s">
        <v>140</v>
      </c>
      <c r="F79" s="4" t="s">
        <v>12</v>
      </c>
      <c r="G79" s="6"/>
      <c r="H79" s="7"/>
    </row>
    <row r="80" customFormat="false" ht="15" hidden="false" customHeight="false" outlineLevel="0" collapsed="false">
      <c r="A80" s="4" t="s">
        <v>53</v>
      </c>
      <c r="B80" s="5" t="s">
        <v>109</v>
      </c>
      <c r="C80" s="4" t="s">
        <v>55</v>
      </c>
      <c r="D80" s="4" t="n">
        <v>1039447980</v>
      </c>
      <c r="E80" s="4" t="s">
        <v>141</v>
      </c>
      <c r="F80" s="4" t="s">
        <v>12</v>
      </c>
      <c r="G80" s="6"/>
      <c r="H80" s="7"/>
    </row>
    <row r="81" customFormat="false" ht="15" hidden="false" customHeight="false" outlineLevel="0" collapsed="false">
      <c r="A81" s="4" t="s">
        <v>53</v>
      </c>
      <c r="B81" s="5" t="s">
        <v>109</v>
      </c>
      <c r="C81" s="4" t="s">
        <v>55</v>
      </c>
      <c r="D81" s="4" t="n">
        <v>1039447990</v>
      </c>
      <c r="E81" s="4" t="s">
        <v>142</v>
      </c>
      <c r="F81" s="4" t="s">
        <v>12</v>
      </c>
      <c r="G81" s="6"/>
      <c r="H81" s="7"/>
    </row>
    <row r="82" customFormat="false" ht="15" hidden="false" customHeight="false" outlineLevel="0" collapsed="false">
      <c r="A82" s="4" t="s">
        <v>40</v>
      </c>
      <c r="B82" s="5" t="s">
        <v>143</v>
      </c>
      <c r="C82" s="4" t="s">
        <v>41</v>
      </c>
      <c r="D82" s="4" t="n">
        <v>1036517700</v>
      </c>
      <c r="E82" s="4" t="s">
        <v>144</v>
      </c>
      <c r="F82" s="4" t="s">
        <v>145</v>
      </c>
      <c r="G82" s="6"/>
      <c r="H82" s="7"/>
    </row>
    <row r="83" customFormat="false" ht="15" hidden="false" customHeight="false" outlineLevel="0" collapsed="false">
      <c r="A83" s="4" t="s">
        <v>40</v>
      </c>
      <c r="B83" s="5" t="s">
        <v>146</v>
      </c>
      <c r="C83" s="4" t="s">
        <v>41</v>
      </c>
      <c r="D83" s="4" t="n">
        <v>1035547700</v>
      </c>
      <c r="E83" s="4" t="s">
        <v>147</v>
      </c>
      <c r="F83" s="4" t="s">
        <v>12</v>
      </c>
      <c r="G83" s="6"/>
      <c r="H83" s="7"/>
    </row>
    <row r="84" customFormat="false" ht="15" hidden="false" customHeight="false" outlineLevel="0" collapsed="false">
      <c r="A84" s="4" t="s">
        <v>40</v>
      </c>
      <c r="B84" s="5" t="s">
        <v>148</v>
      </c>
      <c r="C84" s="4" t="s">
        <v>41</v>
      </c>
      <c r="D84" s="4" t="n">
        <v>1048547990</v>
      </c>
      <c r="E84" s="4" t="s">
        <v>149</v>
      </c>
      <c r="F84" s="4" t="s">
        <v>150</v>
      </c>
      <c r="G84" s="6"/>
      <c r="H84" s="7"/>
    </row>
    <row r="85" customFormat="false" ht="15" hidden="false" customHeight="false" outlineLevel="0" collapsed="false">
      <c r="A85" s="4" t="s">
        <v>40</v>
      </c>
      <c r="B85" s="5" t="s">
        <v>151</v>
      </c>
      <c r="C85" s="4" t="s">
        <v>41</v>
      </c>
      <c r="D85" s="4" t="n">
        <v>1048577990</v>
      </c>
      <c r="E85" s="4" t="s">
        <v>152</v>
      </c>
      <c r="F85" s="4" t="s">
        <v>153</v>
      </c>
      <c r="G85" s="6"/>
      <c r="H85" s="7"/>
    </row>
    <row r="86" customFormat="false" ht="15" hidden="false" customHeight="false" outlineLevel="0" collapsed="false">
      <c r="A86" s="4" t="s">
        <v>53</v>
      </c>
      <c r="B86" s="5" t="s">
        <v>154</v>
      </c>
      <c r="C86" s="4" t="s">
        <v>55</v>
      </c>
      <c r="D86" s="4" t="n">
        <v>2044417995</v>
      </c>
      <c r="E86" s="4" t="s">
        <v>155</v>
      </c>
      <c r="F86" s="4" t="s">
        <v>12</v>
      </c>
      <c r="G86" s="6"/>
      <c r="H86" s="7"/>
    </row>
    <row r="87" customFormat="false" ht="15" hidden="false" customHeight="false" outlineLevel="0" collapsed="false">
      <c r="A87" s="4" t="s">
        <v>53</v>
      </c>
      <c r="B87" s="5" t="s">
        <v>154</v>
      </c>
      <c r="C87" s="4" t="s">
        <v>55</v>
      </c>
      <c r="D87" s="4" t="n">
        <v>2046477960</v>
      </c>
      <c r="E87" s="4" t="s">
        <v>156</v>
      </c>
      <c r="F87" s="4" t="s">
        <v>12</v>
      </c>
      <c r="G87" s="6"/>
      <c r="H87" s="7"/>
    </row>
    <row r="88" customFormat="false" ht="15" hidden="false" customHeight="false" outlineLevel="0" collapsed="false">
      <c r="A88" s="4" t="s">
        <v>53</v>
      </c>
      <c r="B88" s="5" t="s">
        <v>154</v>
      </c>
      <c r="C88" s="4" t="s">
        <v>55</v>
      </c>
      <c r="D88" s="4" t="n">
        <v>2047417995</v>
      </c>
      <c r="E88" s="4" t="s">
        <v>157</v>
      </c>
      <c r="F88" s="4" t="s">
        <v>12</v>
      </c>
      <c r="G88" s="6"/>
      <c r="H88" s="7"/>
    </row>
    <row r="89" customFormat="false" ht="15" hidden="false" customHeight="false" outlineLevel="0" collapsed="false">
      <c r="A89" s="4" t="s">
        <v>53</v>
      </c>
      <c r="B89" s="5" t="s">
        <v>154</v>
      </c>
      <c r="C89" s="4" t="s">
        <v>55</v>
      </c>
      <c r="D89" s="4" t="n">
        <v>2049440990</v>
      </c>
      <c r="E89" s="4" t="s">
        <v>158</v>
      </c>
      <c r="F89" s="4" t="s">
        <v>12</v>
      </c>
      <c r="G89" s="6"/>
      <c r="H89" s="7"/>
    </row>
    <row r="90" customFormat="false" ht="15" hidden="false" customHeight="false" outlineLevel="0" collapsed="false">
      <c r="A90" s="4" t="s">
        <v>40</v>
      </c>
      <c r="B90" s="5" t="s">
        <v>159</v>
      </c>
      <c r="C90" s="4" t="s">
        <v>41</v>
      </c>
      <c r="D90" s="4" t="n">
        <v>1035447990</v>
      </c>
      <c r="E90" s="4" t="s">
        <v>160</v>
      </c>
      <c r="F90" s="4" t="s">
        <v>12</v>
      </c>
      <c r="G90" s="6"/>
      <c r="H90" s="7"/>
    </row>
    <row r="91" customFormat="false" ht="15" hidden="false" customHeight="false" outlineLevel="0" collapsed="false">
      <c r="A91" s="4" t="s">
        <v>40</v>
      </c>
      <c r="B91" s="5" t="s">
        <v>159</v>
      </c>
      <c r="C91" s="4" t="s">
        <v>41</v>
      </c>
      <c r="D91" s="4" t="n">
        <v>1035537980</v>
      </c>
      <c r="E91" s="4" t="s">
        <v>161</v>
      </c>
      <c r="F91" s="4" t="s">
        <v>12</v>
      </c>
      <c r="G91" s="6"/>
      <c r="H91" s="7"/>
    </row>
    <row r="92" customFormat="false" ht="15" hidden="false" customHeight="false" outlineLevel="0" collapsed="false">
      <c r="A92" s="4" t="s">
        <v>40</v>
      </c>
      <c r="B92" s="5" t="s">
        <v>159</v>
      </c>
      <c r="C92" s="4" t="s">
        <v>41</v>
      </c>
      <c r="D92" s="4" t="n">
        <v>1035537990</v>
      </c>
      <c r="E92" s="4" t="s">
        <v>162</v>
      </c>
      <c r="F92" s="4" t="s">
        <v>12</v>
      </c>
      <c r="G92" s="6"/>
      <c r="H92" s="7"/>
    </row>
    <row r="93" customFormat="false" ht="15" hidden="false" customHeight="false" outlineLevel="0" collapsed="false">
      <c r="A93" s="4" t="s">
        <v>40</v>
      </c>
      <c r="B93" s="5" t="s">
        <v>159</v>
      </c>
      <c r="C93" s="4" t="s">
        <v>41</v>
      </c>
      <c r="D93" s="4" t="n">
        <v>1035547990</v>
      </c>
      <c r="E93" s="4" t="s">
        <v>163</v>
      </c>
      <c r="F93" s="4" t="s">
        <v>12</v>
      </c>
      <c r="G93" s="6"/>
      <c r="H93" s="7"/>
    </row>
    <row r="94" customFormat="false" ht="15" hidden="false" customHeight="false" outlineLevel="0" collapsed="false">
      <c r="A94" s="4" t="s">
        <v>40</v>
      </c>
      <c r="B94" s="5" t="s">
        <v>159</v>
      </c>
      <c r="C94" s="4" t="s">
        <v>41</v>
      </c>
      <c r="D94" s="4" t="n">
        <v>1037497990</v>
      </c>
      <c r="E94" s="4" t="s">
        <v>164</v>
      </c>
      <c r="F94" s="4" t="s">
        <v>12</v>
      </c>
      <c r="G94" s="6"/>
      <c r="H94" s="7"/>
    </row>
    <row r="95" customFormat="false" ht="15" hidden="false" customHeight="false" outlineLevel="0" collapsed="false">
      <c r="A95" s="4" t="s">
        <v>40</v>
      </c>
      <c r="B95" s="5" t="s">
        <v>159</v>
      </c>
      <c r="C95" s="4" t="s">
        <v>41</v>
      </c>
      <c r="D95" s="4" t="n">
        <v>1038467990</v>
      </c>
      <c r="E95" s="4" t="s">
        <v>165</v>
      </c>
      <c r="F95" s="4" t="s">
        <v>12</v>
      </c>
      <c r="G95" s="6"/>
      <c r="H95" s="7"/>
    </row>
    <row r="96" customFormat="false" ht="15" hidden="false" customHeight="false" outlineLevel="0" collapsed="false">
      <c r="A96" s="4" t="s">
        <v>40</v>
      </c>
      <c r="B96" s="5" t="s">
        <v>159</v>
      </c>
      <c r="C96" s="4" t="s">
        <v>41</v>
      </c>
      <c r="D96" s="4" t="n">
        <v>1047387980</v>
      </c>
      <c r="E96" s="4" t="s">
        <v>166</v>
      </c>
      <c r="F96" s="4" t="s">
        <v>12</v>
      </c>
      <c r="G96" s="6"/>
      <c r="H96" s="7"/>
    </row>
    <row r="97" customFormat="false" ht="15" hidden="false" customHeight="false" outlineLevel="0" collapsed="false">
      <c r="A97" s="4" t="s">
        <v>40</v>
      </c>
      <c r="B97" s="5" t="s">
        <v>159</v>
      </c>
      <c r="C97" s="4" t="s">
        <v>41</v>
      </c>
      <c r="D97" s="4" t="n">
        <v>1047387990</v>
      </c>
      <c r="E97" s="4" t="s">
        <v>167</v>
      </c>
      <c r="F97" s="4" t="s">
        <v>12</v>
      </c>
      <c r="G97" s="6"/>
      <c r="H97" s="7"/>
    </row>
    <row r="98" customFormat="false" ht="15" hidden="false" customHeight="false" outlineLevel="0" collapsed="false">
      <c r="A98" s="4" t="s">
        <v>40</v>
      </c>
      <c r="B98" s="5" t="s">
        <v>159</v>
      </c>
      <c r="C98" s="4" t="s">
        <v>41</v>
      </c>
      <c r="D98" s="4" t="n">
        <v>1047397990</v>
      </c>
      <c r="E98" s="4" t="s">
        <v>168</v>
      </c>
      <c r="F98" s="4" t="s">
        <v>12</v>
      </c>
      <c r="G98" s="6"/>
      <c r="H98" s="7"/>
    </row>
    <row r="99" customFormat="false" ht="15" hidden="false" customHeight="false" outlineLevel="0" collapsed="false">
      <c r="A99" s="4" t="s">
        <v>40</v>
      </c>
      <c r="B99" s="5" t="s">
        <v>159</v>
      </c>
      <c r="C99" s="4" t="s">
        <v>41</v>
      </c>
      <c r="D99" s="4" t="n">
        <v>1047407990</v>
      </c>
      <c r="E99" s="4" t="s">
        <v>169</v>
      </c>
      <c r="F99" s="4" t="s">
        <v>12</v>
      </c>
      <c r="G99" s="6"/>
      <c r="H99" s="7"/>
    </row>
    <row r="100" customFormat="false" ht="15" hidden="false" customHeight="false" outlineLevel="0" collapsed="false">
      <c r="A100" s="4" t="s">
        <v>40</v>
      </c>
      <c r="B100" s="5" t="s">
        <v>159</v>
      </c>
      <c r="C100" s="4" t="s">
        <v>41</v>
      </c>
      <c r="D100" s="4" t="n">
        <v>1048407980</v>
      </c>
      <c r="E100" s="4" t="s">
        <v>170</v>
      </c>
      <c r="F100" s="4" t="s">
        <v>12</v>
      </c>
      <c r="G100" s="6"/>
      <c r="H100" s="7"/>
    </row>
    <row r="101" customFormat="false" ht="15" hidden="false" customHeight="false" outlineLevel="0" collapsed="false">
      <c r="A101" s="4" t="s">
        <v>40</v>
      </c>
      <c r="B101" s="5" t="s">
        <v>159</v>
      </c>
      <c r="C101" s="4" t="s">
        <v>41</v>
      </c>
      <c r="D101" s="4" t="n">
        <v>1048407990</v>
      </c>
      <c r="E101" s="4" t="s">
        <v>171</v>
      </c>
      <c r="F101" s="4" t="s">
        <v>12</v>
      </c>
      <c r="G101" s="6"/>
      <c r="H101" s="7"/>
    </row>
    <row r="102" customFormat="false" ht="15" hidden="false" customHeight="false" outlineLevel="0" collapsed="false">
      <c r="A102" s="4" t="s">
        <v>53</v>
      </c>
      <c r="B102" s="5" t="s">
        <v>172</v>
      </c>
      <c r="C102" s="4" t="s">
        <v>55</v>
      </c>
      <c r="D102" s="4" t="n">
        <v>1035497990</v>
      </c>
      <c r="E102" s="4" t="s">
        <v>173</v>
      </c>
      <c r="F102" s="4" t="s">
        <v>174</v>
      </c>
      <c r="G102" s="6"/>
      <c r="H102" s="7"/>
    </row>
    <row r="103" customFormat="false" ht="15" hidden="false" customHeight="false" outlineLevel="0" collapsed="false">
      <c r="A103" s="4" t="s">
        <v>53</v>
      </c>
      <c r="B103" s="5" t="s">
        <v>172</v>
      </c>
      <c r="C103" s="4" t="s">
        <v>55</v>
      </c>
      <c r="D103" s="4" t="n">
        <v>1035507650</v>
      </c>
      <c r="E103" s="4" t="s">
        <v>175</v>
      </c>
      <c r="F103" s="4" t="s">
        <v>176</v>
      </c>
      <c r="G103" s="6"/>
      <c r="H103" s="7"/>
    </row>
    <row r="104" customFormat="false" ht="15" hidden="false" customHeight="false" outlineLevel="0" collapsed="false">
      <c r="A104" s="4" t="s">
        <v>53</v>
      </c>
      <c r="B104" s="5" t="s">
        <v>172</v>
      </c>
      <c r="C104" s="4" t="s">
        <v>55</v>
      </c>
      <c r="D104" s="4" t="n">
        <v>1035507660</v>
      </c>
      <c r="E104" s="4" t="s">
        <v>177</v>
      </c>
      <c r="F104" s="4" t="s">
        <v>178</v>
      </c>
      <c r="G104" s="6"/>
      <c r="H104" s="7"/>
    </row>
    <row r="105" customFormat="false" ht="15" hidden="false" customHeight="false" outlineLevel="0" collapsed="false">
      <c r="A105" s="4" t="s">
        <v>53</v>
      </c>
      <c r="B105" s="5" t="s">
        <v>172</v>
      </c>
      <c r="C105" s="4" t="s">
        <v>55</v>
      </c>
      <c r="D105" s="4" t="n">
        <v>1035507670</v>
      </c>
      <c r="E105" s="4" t="s">
        <v>179</v>
      </c>
      <c r="F105" s="4" t="s">
        <v>180</v>
      </c>
      <c r="G105" s="6"/>
      <c r="H105" s="7"/>
    </row>
    <row r="106" customFormat="false" ht="15" hidden="false" customHeight="false" outlineLevel="0" collapsed="false">
      <c r="A106" s="4" t="s">
        <v>53</v>
      </c>
      <c r="B106" s="5" t="s">
        <v>172</v>
      </c>
      <c r="C106" s="4" t="s">
        <v>55</v>
      </c>
      <c r="D106" s="4" t="n">
        <v>1035507680</v>
      </c>
      <c r="E106" s="4" t="s">
        <v>181</v>
      </c>
      <c r="F106" s="4" t="s">
        <v>182</v>
      </c>
      <c r="G106" s="6"/>
      <c r="H106" s="7"/>
    </row>
    <row r="107" customFormat="false" ht="15" hidden="false" customHeight="false" outlineLevel="0" collapsed="false">
      <c r="A107" s="4" t="s">
        <v>53</v>
      </c>
      <c r="B107" s="5" t="s">
        <v>172</v>
      </c>
      <c r="C107" s="4" t="s">
        <v>55</v>
      </c>
      <c r="D107" s="4" t="n">
        <v>1035507690</v>
      </c>
      <c r="E107" s="4" t="s">
        <v>183</v>
      </c>
      <c r="F107" s="4" t="s">
        <v>184</v>
      </c>
      <c r="G107" s="6"/>
      <c r="H107" s="7"/>
    </row>
    <row r="108" customFormat="false" ht="15" hidden="false" customHeight="false" outlineLevel="0" collapsed="false">
      <c r="A108" s="4" t="s">
        <v>53</v>
      </c>
      <c r="B108" s="5" t="s">
        <v>172</v>
      </c>
      <c r="C108" s="4" t="s">
        <v>55</v>
      </c>
      <c r="D108" s="4" t="n">
        <v>1035507700</v>
      </c>
      <c r="E108" s="4" t="s">
        <v>185</v>
      </c>
      <c r="F108" s="4" t="s">
        <v>186</v>
      </c>
      <c r="G108" s="6"/>
      <c r="H108" s="7"/>
    </row>
    <row r="109" customFormat="false" ht="15" hidden="false" customHeight="false" outlineLevel="0" collapsed="false">
      <c r="A109" s="4" t="s">
        <v>53</v>
      </c>
      <c r="B109" s="5" t="s">
        <v>172</v>
      </c>
      <c r="C109" s="4" t="s">
        <v>55</v>
      </c>
      <c r="D109" s="4" t="n">
        <v>1035507710</v>
      </c>
      <c r="E109" s="4" t="s">
        <v>187</v>
      </c>
      <c r="F109" s="4" t="s">
        <v>188</v>
      </c>
      <c r="G109" s="6"/>
      <c r="H109" s="7"/>
    </row>
    <row r="110" customFormat="false" ht="15" hidden="false" customHeight="false" outlineLevel="0" collapsed="false">
      <c r="A110" s="4" t="s">
        <v>53</v>
      </c>
      <c r="B110" s="5" t="s">
        <v>172</v>
      </c>
      <c r="C110" s="4" t="s">
        <v>55</v>
      </c>
      <c r="D110" s="4" t="n">
        <v>1035507720</v>
      </c>
      <c r="E110" s="4" t="s">
        <v>189</v>
      </c>
      <c r="F110" s="4" t="s">
        <v>190</v>
      </c>
      <c r="G110" s="6"/>
      <c r="H110" s="7"/>
    </row>
    <row r="111" customFormat="false" ht="15" hidden="false" customHeight="false" outlineLevel="0" collapsed="false">
      <c r="A111" s="4" t="s">
        <v>53</v>
      </c>
      <c r="B111" s="5" t="s">
        <v>172</v>
      </c>
      <c r="C111" s="4" t="s">
        <v>55</v>
      </c>
      <c r="D111" s="4" t="n">
        <v>1035507730</v>
      </c>
      <c r="E111" s="4" t="s">
        <v>191</v>
      </c>
      <c r="F111" s="4" t="s">
        <v>192</v>
      </c>
      <c r="G111" s="6"/>
      <c r="H111" s="7"/>
    </row>
    <row r="112" customFormat="false" ht="15" hidden="false" customHeight="false" outlineLevel="0" collapsed="false">
      <c r="A112" s="4" t="s">
        <v>53</v>
      </c>
      <c r="B112" s="5" t="s">
        <v>172</v>
      </c>
      <c r="C112" s="4" t="s">
        <v>55</v>
      </c>
      <c r="D112" s="4" t="n">
        <v>1035507740</v>
      </c>
      <c r="E112" s="4" t="s">
        <v>193</v>
      </c>
      <c r="F112" s="4" t="s">
        <v>194</v>
      </c>
      <c r="G112" s="6"/>
      <c r="H112" s="7"/>
    </row>
    <row r="113" customFormat="false" ht="15" hidden="false" customHeight="false" outlineLevel="0" collapsed="false">
      <c r="A113" s="4" t="s">
        <v>53</v>
      </c>
      <c r="B113" s="5" t="s">
        <v>172</v>
      </c>
      <c r="C113" s="4" t="s">
        <v>55</v>
      </c>
      <c r="D113" s="4" t="n">
        <v>1035507750</v>
      </c>
      <c r="E113" s="4" t="s">
        <v>195</v>
      </c>
      <c r="F113" s="4" t="s">
        <v>196</v>
      </c>
      <c r="G113" s="6"/>
      <c r="H113" s="7"/>
    </row>
    <row r="114" customFormat="false" ht="15" hidden="false" customHeight="false" outlineLevel="0" collapsed="false">
      <c r="A114" s="4" t="s">
        <v>53</v>
      </c>
      <c r="B114" s="5" t="s">
        <v>172</v>
      </c>
      <c r="C114" s="4" t="s">
        <v>55</v>
      </c>
      <c r="D114" s="4" t="n">
        <v>1035507760</v>
      </c>
      <c r="E114" s="4" t="s">
        <v>197</v>
      </c>
      <c r="F114" s="4" t="s">
        <v>198</v>
      </c>
      <c r="G114" s="6"/>
      <c r="H114" s="7"/>
    </row>
    <row r="115" customFormat="false" ht="15" hidden="false" customHeight="false" outlineLevel="0" collapsed="false">
      <c r="A115" s="4" t="s">
        <v>53</v>
      </c>
      <c r="B115" s="5" t="s">
        <v>172</v>
      </c>
      <c r="C115" s="4" t="s">
        <v>55</v>
      </c>
      <c r="D115" s="4" t="n">
        <v>1035507770</v>
      </c>
      <c r="E115" s="4" t="s">
        <v>199</v>
      </c>
      <c r="F115" s="4" t="s">
        <v>200</v>
      </c>
      <c r="G115" s="6"/>
      <c r="H115" s="7"/>
    </row>
    <row r="116" customFormat="false" ht="15" hidden="false" customHeight="false" outlineLevel="0" collapsed="false">
      <c r="A116" s="4" t="s">
        <v>53</v>
      </c>
      <c r="B116" s="5" t="s">
        <v>172</v>
      </c>
      <c r="C116" s="4" t="s">
        <v>55</v>
      </c>
      <c r="D116" s="4" t="n">
        <v>1035507780</v>
      </c>
      <c r="E116" s="4" t="s">
        <v>201</v>
      </c>
      <c r="F116" s="4" t="s">
        <v>202</v>
      </c>
      <c r="G116" s="6"/>
      <c r="H116" s="7"/>
    </row>
    <row r="117" customFormat="false" ht="15" hidden="false" customHeight="false" outlineLevel="0" collapsed="false">
      <c r="A117" s="4" t="s">
        <v>53</v>
      </c>
      <c r="B117" s="5" t="s">
        <v>172</v>
      </c>
      <c r="C117" s="4" t="s">
        <v>55</v>
      </c>
      <c r="D117" s="4" t="n">
        <v>1035507790</v>
      </c>
      <c r="E117" s="4" t="s">
        <v>203</v>
      </c>
      <c r="F117" s="4" t="s">
        <v>204</v>
      </c>
      <c r="G117" s="6"/>
      <c r="H117" s="7"/>
    </row>
    <row r="118" customFormat="false" ht="15" hidden="false" customHeight="false" outlineLevel="0" collapsed="false">
      <c r="A118" s="4" t="s">
        <v>53</v>
      </c>
      <c r="B118" s="5" t="s">
        <v>172</v>
      </c>
      <c r="C118" s="4" t="s">
        <v>55</v>
      </c>
      <c r="D118" s="4" t="n">
        <v>1035507800</v>
      </c>
      <c r="E118" s="4" t="s">
        <v>205</v>
      </c>
      <c r="F118" s="4" t="s">
        <v>206</v>
      </c>
      <c r="G118" s="6"/>
      <c r="H118" s="7"/>
    </row>
    <row r="119" customFormat="false" ht="15" hidden="false" customHeight="false" outlineLevel="0" collapsed="false">
      <c r="A119" s="4" t="s">
        <v>53</v>
      </c>
      <c r="B119" s="5" t="s">
        <v>207</v>
      </c>
      <c r="C119" s="4" t="s">
        <v>55</v>
      </c>
      <c r="D119" s="4" t="n">
        <v>1035547980</v>
      </c>
      <c r="E119" s="4" t="s">
        <v>208</v>
      </c>
      <c r="F119" s="4" t="s">
        <v>209</v>
      </c>
      <c r="G119" s="6"/>
      <c r="H119" s="7"/>
    </row>
    <row r="120" customFormat="false" ht="15" hidden="false" customHeight="false" outlineLevel="0" collapsed="false">
      <c r="A120" s="4" t="s">
        <v>53</v>
      </c>
      <c r="B120" s="5" t="s">
        <v>207</v>
      </c>
      <c r="C120" s="4" t="s">
        <v>55</v>
      </c>
      <c r="D120" s="4" t="n">
        <v>1036547990</v>
      </c>
      <c r="E120" s="4" t="s">
        <v>210</v>
      </c>
      <c r="F120" s="4" t="s">
        <v>211</v>
      </c>
      <c r="G120" s="6"/>
      <c r="H120" s="7"/>
    </row>
    <row r="121" customFormat="false" ht="15" hidden="false" customHeight="false" outlineLevel="0" collapsed="false">
      <c r="A121" s="4" t="s">
        <v>53</v>
      </c>
      <c r="B121" s="5" t="s">
        <v>22</v>
      </c>
      <c r="C121" s="4" t="s">
        <v>55</v>
      </c>
      <c r="D121" s="4" t="n">
        <v>1050537980</v>
      </c>
      <c r="E121" s="4" t="s">
        <v>212</v>
      </c>
      <c r="F121" s="4" t="s">
        <v>213</v>
      </c>
      <c r="G121" s="6"/>
      <c r="H121" s="7"/>
    </row>
    <row r="122" customFormat="false" ht="15" hidden="false" customHeight="false" outlineLevel="0" collapsed="false">
      <c r="A122" s="4" t="s">
        <v>53</v>
      </c>
      <c r="B122" s="5" t="s">
        <v>22</v>
      </c>
      <c r="C122" s="4" t="s">
        <v>55</v>
      </c>
      <c r="D122" s="4" t="n">
        <v>1050537990</v>
      </c>
      <c r="E122" s="4" t="s">
        <v>214</v>
      </c>
      <c r="F122" s="4" t="s">
        <v>215</v>
      </c>
      <c r="G122" s="6"/>
      <c r="H122" s="7"/>
    </row>
    <row r="123" customFormat="false" ht="15" hidden="false" customHeight="false" outlineLevel="0" collapsed="false">
      <c r="A123" s="4" t="s">
        <v>53</v>
      </c>
      <c r="B123" s="5" t="s">
        <v>22</v>
      </c>
      <c r="C123" s="4" t="s">
        <v>55</v>
      </c>
      <c r="D123" s="4" t="n">
        <v>1051537950</v>
      </c>
      <c r="E123" s="4" t="s">
        <v>216</v>
      </c>
      <c r="F123" s="4" t="s">
        <v>217</v>
      </c>
      <c r="G123" s="6"/>
      <c r="H123" s="7"/>
    </row>
    <row r="124" customFormat="false" ht="15" hidden="false" customHeight="false" outlineLevel="0" collapsed="false">
      <c r="A124" s="4" t="s">
        <v>53</v>
      </c>
      <c r="B124" s="5" t="s">
        <v>22</v>
      </c>
      <c r="C124" s="4" t="s">
        <v>55</v>
      </c>
      <c r="D124" s="4" t="n">
        <v>1051537960</v>
      </c>
      <c r="E124" s="4" t="s">
        <v>218</v>
      </c>
      <c r="F124" s="4" t="s">
        <v>219</v>
      </c>
      <c r="G124" s="6"/>
      <c r="H124" s="7"/>
    </row>
    <row r="125" customFormat="false" ht="15" hidden="false" customHeight="false" outlineLevel="0" collapsed="false">
      <c r="A125" s="4" t="s">
        <v>53</v>
      </c>
      <c r="B125" s="5" t="s">
        <v>22</v>
      </c>
      <c r="C125" s="4" t="s">
        <v>55</v>
      </c>
      <c r="D125" s="4" t="n">
        <v>1051537970</v>
      </c>
      <c r="E125" s="4" t="s">
        <v>220</v>
      </c>
      <c r="F125" s="4" t="s">
        <v>221</v>
      </c>
      <c r="G125" s="6"/>
      <c r="H125" s="7"/>
    </row>
    <row r="126" customFormat="false" ht="15" hidden="false" customHeight="false" outlineLevel="0" collapsed="false">
      <c r="A126" s="4" t="s">
        <v>53</v>
      </c>
      <c r="B126" s="5" t="s">
        <v>22</v>
      </c>
      <c r="C126" s="4" t="s">
        <v>55</v>
      </c>
      <c r="D126" s="4" t="n">
        <v>1051537980</v>
      </c>
      <c r="E126" s="4" t="s">
        <v>222</v>
      </c>
      <c r="F126" s="4" t="s">
        <v>223</v>
      </c>
      <c r="G126" s="6"/>
      <c r="H126" s="7"/>
    </row>
    <row r="127" customFormat="false" ht="15" hidden="false" customHeight="false" outlineLevel="0" collapsed="false">
      <c r="A127" s="4" t="s">
        <v>53</v>
      </c>
      <c r="B127" s="5" t="s">
        <v>22</v>
      </c>
      <c r="C127" s="4" t="s">
        <v>55</v>
      </c>
      <c r="D127" s="4" t="n">
        <v>1051537990</v>
      </c>
      <c r="E127" s="4" t="s">
        <v>224</v>
      </c>
      <c r="F127" s="4" t="s">
        <v>225</v>
      </c>
      <c r="G127" s="6"/>
      <c r="H127" s="7"/>
    </row>
    <row r="128" customFormat="false" ht="15" hidden="false" customHeight="false" outlineLevel="0" collapsed="false">
      <c r="A128" s="4" t="s">
        <v>53</v>
      </c>
      <c r="B128" s="5" t="s">
        <v>22</v>
      </c>
      <c r="C128" s="4" t="s">
        <v>55</v>
      </c>
      <c r="D128" s="4" t="n">
        <v>1051547960</v>
      </c>
      <c r="E128" s="4" t="s">
        <v>226</v>
      </c>
      <c r="F128" s="4" t="s">
        <v>227</v>
      </c>
      <c r="G128" s="6"/>
      <c r="H128" s="7"/>
    </row>
    <row r="129" customFormat="false" ht="15" hidden="false" customHeight="false" outlineLevel="0" collapsed="false">
      <c r="A129" s="4" t="s">
        <v>53</v>
      </c>
      <c r="B129" s="5" t="s">
        <v>22</v>
      </c>
      <c r="C129" s="4" t="s">
        <v>55</v>
      </c>
      <c r="D129" s="4" t="n">
        <v>1051547970</v>
      </c>
      <c r="E129" s="4" t="s">
        <v>228</v>
      </c>
      <c r="F129" s="4" t="s">
        <v>229</v>
      </c>
      <c r="G129" s="6"/>
      <c r="H129" s="7"/>
    </row>
    <row r="130" customFormat="false" ht="15" hidden="false" customHeight="false" outlineLevel="0" collapsed="false">
      <c r="A130" s="4" t="s">
        <v>53</v>
      </c>
      <c r="B130" s="5" t="s">
        <v>22</v>
      </c>
      <c r="C130" s="4" t="s">
        <v>55</v>
      </c>
      <c r="D130" s="4" t="n">
        <v>1051547980</v>
      </c>
      <c r="E130" s="4" t="s">
        <v>230</v>
      </c>
      <c r="F130" s="4" t="s">
        <v>231</v>
      </c>
      <c r="G130" s="6"/>
      <c r="H130" s="7"/>
    </row>
    <row r="131" customFormat="false" ht="15" hidden="false" customHeight="false" outlineLevel="0" collapsed="false">
      <c r="A131" s="4" t="s">
        <v>53</v>
      </c>
      <c r="B131" s="5" t="s">
        <v>22</v>
      </c>
      <c r="C131" s="4" t="s">
        <v>55</v>
      </c>
      <c r="D131" s="4" t="n">
        <v>1051547990</v>
      </c>
      <c r="E131" s="4" t="s">
        <v>232</v>
      </c>
      <c r="F131" s="4" t="s">
        <v>233</v>
      </c>
      <c r="G131" s="6"/>
      <c r="H131" s="7"/>
    </row>
    <row r="132" customFormat="false" ht="15" hidden="false" customHeight="false" outlineLevel="0" collapsed="false">
      <c r="A132" s="4" t="s">
        <v>53</v>
      </c>
      <c r="B132" s="5" t="s">
        <v>22</v>
      </c>
      <c r="C132" s="4" t="s">
        <v>55</v>
      </c>
      <c r="D132" s="4" t="n">
        <v>1052547980</v>
      </c>
      <c r="E132" s="4" t="s">
        <v>234</v>
      </c>
      <c r="F132" s="4" t="s">
        <v>235</v>
      </c>
      <c r="G132" s="6"/>
      <c r="H132" s="7"/>
    </row>
    <row r="133" customFormat="false" ht="15" hidden="false" customHeight="false" outlineLevel="0" collapsed="false">
      <c r="A133" s="4" t="s">
        <v>53</v>
      </c>
      <c r="B133" s="5" t="s">
        <v>22</v>
      </c>
      <c r="C133" s="4" t="s">
        <v>55</v>
      </c>
      <c r="D133" s="4" t="n">
        <v>1052547990</v>
      </c>
      <c r="E133" s="4" t="s">
        <v>236</v>
      </c>
      <c r="F133" s="4" t="s">
        <v>237</v>
      </c>
      <c r="G133" s="6"/>
      <c r="H133" s="7"/>
    </row>
    <row r="134" customFormat="false" ht="15" hidden="false" customHeight="false" outlineLevel="0" collapsed="false">
      <c r="A134" s="4" t="s">
        <v>40</v>
      </c>
      <c r="B134" s="5" t="s">
        <v>238</v>
      </c>
      <c r="C134" s="4" t="s">
        <v>41</v>
      </c>
      <c r="D134" s="4" t="n">
        <v>1035507990</v>
      </c>
      <c r="E134" s="4" t="s">
        <v>239</v>
      </c>
      <c r="F134" s="4" t="s">
        <v>240</v>
      </c>
      <c r="G134" s="6"/>
      <c r="H134" s="7"/>
    </row>
    <row r="135" customFormat="false" ht="15" hidden="false" customHeight="false" outlineLevel="0" collapsed="false">
      <c r="A135" s="2" t="s">
        <v>241</v>
      </c>
      <c r="B135" s="3" t="s">
        <v>242</v>
      </c>
      <c r="C135" s="2" t="s">
        <v>10</v>
      </c>
      <c r="D135" s="2" t="n">
        <v>30097800</v>
      </c>
      <c r="E135" s="2" t="s">
        <v>243</v>
      </c>
      <c r="F135" s="2" t="s">
        <v>244</v>
      </c>
      <c r="G135" s="2"/>
      <c r="H135" s="3"/>
    </row>
    <row r="136" customFormat="false" ht="15" hidden="false" customHeight="false" outlineLevel="0" collapsed="false">
      <c r="A136" s="2" t="s">
        <v>241</v>
      </c>
      <c r="B136" s="3" t="s">
        <v>9</v>
      </c>
      <c r="C136" s="2" t="s">
        <v>10</v>
      </c>
      <c r="D136" s="2" t="n">
        <v>30087970</v>
      </c>
      <c r="E136" s="2" t="s">
        <v>245</v>
      </c>
      <c r="F136" s="2" t="s">
        <v>12</v>
      </c>
      <c r="G136" s="2"/>
      <c r="H136" s="3"/>
    </row>
    <row r="137" customFormat="false" ht="15" hidden="false" customHeight="false" outlineLevel="0" collapsed="false">
      <c r="A137" s="2" t="s">
        <v>241</v>
      </c>
      <c r="B137" s="3" t="s">
        <v>9</v>
      </c>
      <c r="C137" s="2" t="s">
        <v>10</v>
      </c>
      <c r="D137" s="2" t="n">
        <v>30087980</v>
      </c>
      <c r="E137" s="2" t="s">
        <v>246</v>
      </c>
      <c r="F137" s="2" t="s">
        <v>12</v>
      </c>
      <c r="G137" s="2"/>
      <c r="H137" s="3"/>
    </row>
    <row r="138" customFormat="false" ht="15" hidden="false" customHeight="false" outlineLevel="0" collapsed="false">
      <c r="A138" s="2" t="s">
        <v>241</v>
      </c>
      <c r="B138" s="3" t="s">
        <v>9</v>
      </c>
      <c r="C138" s="2" t="s">
        <v>10</v>
      </c>
      <c r="D138" s="2" t="n">
        <v>30087990</v>
      </c>
      <c r="E138" s="2" t="s">
        <v>247</v>
      </c>
      <c r="F138" s="2" t="s">
        <v>12</v>
      </c>
      <c r="G138" s="2"/>
      <c r="H138" s="3"/>
    </row>
    <row r="139" customFormat="false" ht="15" hidden="false" customHeight="false" outlineLevel="0" collapsed="false">
      <c r="A139" s="2" t="s">
        <v>241</v>
      </c>
      <c r="B139" s="3" t="s">
        <v>248</v>
      </c>
      <c r="C139" s="2" t="s">
        <v>10</v>
      </c>
      <c r="D139" s="2" t="n">
        <v>30097700</v>
      </c>
      <c r="E139" s="2" t="s">
        <v>249</v>
      </c>
      <c r="F139" s="2" t="s">
        <v>250</v>
      </c>
      <c r="G139" s="2"/>
      <c r="H139" s="3"/>
    </row>
    <row r="140" customFormat="false" ht="15" hidden="false" customHeight="false" outlineLevel="0" collapsed="false">
      <c r="A140" s="2" t="s">
        <v>251</v>
      </c>
      <c r="B140" s="3" t="s">
        <v>252</v>
      </c>
      <c r="C140" s="2" t="s">
        <v>10</v>
      </c>
      <c r="D140" s="2" t="n">
        <v>2049437920</v>
      </c>
      <c r="E140" s="2" t="s">
        <v>253</v>
      </c>
      <c r="F140" s="2" t="s">
        <v>254</v>
      </c>
      <c r="G140" s="2"/>
      <c r="H140" s="3"/>
    </row>
    <row r="141" customFormat="false" ht="15" hidden="false" customHeight="false" outlineLevel="0" collapsed="false">
      <c r="A141" s="2" t="s">
        <v>251</v>
      </c>
      <c r="B141" s="3" t="s">
        <v>252</v>
      </c>
      <c r="C141" s="2" t="s">
        <v>10</v>
      </c>
      <c r="D141" s="2" t="n">
        <v>2049437930</v>
      </c>
      <c r="E141" s="2" t="s">
        <v>255</v>
      </c>
      <c r="F141" s="2" t="s">
        <v>256</v>
      </c>
      <c r="G141" s="2"/>
      <c r="H141" s="3"/>
    </row>
    <row r="142" customFormat="false" ht="15" hidden="false" customHeight="false" outlineLevel="0" collapsed="false">
      <c r="A142" s="2" t="s">
        <v>251</v>
      </c>
      <c r="B142" s="3" t="s">
        <v>257</v>
      </c>
      <c r="C142" s="2" t="s">
        <v>10</v>
      </c>
      <c r="D142" s="2" t="n">
        <v>2045417950</v>
      </c>
      <c r="E142" s="2" t="s">
        <v>258</v>
      </c>
      <c r="F142" s="2" t="s">
        <v>12</v>
      </c>
      <c r="G142" s="2"/>
      <c r="H142" s="3"/>
    </row>
    <row r="143" customFormat="false" ht="15" hidden="false" customHeight="false" outlineLevel="0" collapsed="false">
      <c r="A143" s="2" t="s">
        <v>251</v>
      </c>
      <c r="B143" s="3" t="s">
        <v>259</v>
      </c>
      <c r="C143" s="2" t="s">
        <v>10</v>
      </c>
      <c r="D143" s="2" t="n">
        <v>2047477950</v>
      </c>
      <c r="E143" s="2" t="s">
        <v>260</v>
      </c>
      <c r="F143" s="2" t="s">
        <v>12</v>
      </c>
      <c r="G143" s="2"/>
      <c r="H143" s="3"/>
    </row>
    <row r="144" customFormat="false" ht="15" hidden="false" customHeight="false" outlineLevel="0" collapsed="false">
      <c r="A144" s="2" t="s">
        <v>251</v>
      </c>
      <c r="B144" s="3" t="s">
        <v>261</v>
      </c>
      <c r="C144" s="2" t="s">
        <v>10</v>
      </c>
      <c r="D144" s="2" t="n">
        <v>2049437900</v>
      </c>
      <c r="E144" s="2" t="s">
        <v>262</v>
      </c>
      <c r="F144" s="2" t="s">
        <v>263</v>
      </c>
      <c r="G144" s="2"/>
      <c r="H144" s="3"/>
    </row>
    <row r="145" customFormat="false" ht="15" hidden="false" customHeight="false" outlineLevel="0" collapsed="false">
      <c r="A145" s="2" t="s">
        <v>251</v>
      </c>
      <c r="B145" s="3" t="s">
        <v>261</v>
      </c>
      <c r="C145" s="2" t="s">
        <v>10</v>
      </c>
      <c r="D145" s="2" t="n">
        <v>2049437910</v>
      </c>
      <c r="E145" s="2" t="s">
        <v>264</v>
      </c>
      <c r="F145" s="2" t="s">
        <v>265</v>
      </c>
      <c r="G145" s="2"/>
      <c r="H145" s="3"/>
    </row>
    <row r="146" customFormat="false" ht="15" hidden="false" customHeight="false" outlineLevel="0" collapsed="false">
      <c r="A146" s="2" t="s">
        <v>251</v>
      </c>
      <c r="B146" s="3" t="s">
        <v>266</v>
      </c>
      <c r="C146" s="2" t="s">
        <v>10</v>
      </c>
      <c r="D146" s="2" t="n">
        <v>2046477970</v>
      </c>
      <c r="E146" s="2" t="s">
        <v>267</v>
      </c>
      <c r="F146" s="2" t="s">
        <v>12</v>
      </c>
      <c r="G146" s="2"/>
      <c r="H146" s="3"/>
    </row>
    <row r="147" customFormat="false" ht="15" hidden="false" customHeight="false" outlineLevel="0" collapsed="false">
      <c r="A147" s="2" t="s">
        <v>251</v>
      </c>
      <c r="B147" s="3" t="s">
        <v>268</v>
      </c>
      <c r="C147" s="2" t="s">
        <v>10</v>
      </c>
      <c r="D147" s="2" t="n">
        <v>2049490900</v>
      </c>
      <c r="E147" s="2" t="s">
        <v>269</v>
      </c>
      <c r="F147" s="2" t="s">
        <v>12</v>
      </c>
      <c r="G147" s="2"/>
      <c r="H147" s="3"/>
    </row>
    <row r="148" customFormat="false" ht="15" hidden="false" customHeight="false" outlineLevel="0" collapsed="false">
      <c r="A148" s="2" t="s">
        <v>251</v>
      </c>
      <c r="B148" s="3" t="s">
        <v>270</v>
      </c>
      <c r="C148" s="2" t="s">
        <v>10</v>
      </c>
      <c r="D148" s="2" t="n">
        <v>2049437940</v>
      </c>
      <c r="E148" s="2" t="s">
        <v>271</v>
      </c>
      <c r="F148" s="2" t="s">
        <v>272</v>
      </c>
      <c r="G148" s="2"/>
      <c r="H148" s="3"/>
    </row>
    <row r="149" customFormat="false" ht="15" hidden="false" customHeight="false" outlineLevel="0" collapsed="false">
      <c r="A149" s="2" t="s">
        <v>251</v>
      </c>
      <c r="B149" s="3" t="s">
        <v>273</v>
      </c>
      <c r="C149" s="2" t="s">
        <v>10</v>
      </c>
      <c r="D149" s="2" t="n">
        <v>2046457950</v>
      </c>
      <c r="E149" s="2" t="s">
        <v>274</v>
      </c>
      <c r="F149" s="2" t="s">
        <v>12</v>
      </c>
      <c r="G149" s="2"/>
      <c r="H149" s="3"/>
    </row>
    <row r="150" customFormat="false" ht="15" hidden="false" customHeight="false" outlineLevel="0" collapsed="false">
      <c r="A150" s="2" t="s">
        <v>251</v>
      </c>
      <c r="B150" s="3" t="s">
        <v>275</v>
      </c>
      <c r="C150" s="2" t="s">
        <v>10</v>
      </c>
      <c r="D150" s="2" t="n">
        <v>2044467950</v>
      </c>
      <c r="E150" s="2" t="s">
        <v>276</v>
      </c>
      <c r="F150" s="2" t="s">
        <v>12</v>
      </c>
      <c r="G150" s="2"/>
      <c r="H150" s="3"/>
    </row>
    <row r="151" customFormat="false" ht="15" hidden="false" customHeight="false" outlineLevel="0" collapsed="false">
      <c r="A151" s="2" t="s">
        <v>251</v>
      </c>
      <c r="B151" s="3" t="s">
        <v>275</v>
      </c>
      <c r="C151" s="2" t="s">
        <v>10</v>
      </c>
      <c r="D151" s="2" t="n">
        <v>2046477950</v>
      </c>
      <c r="E151" s="2" t="s">
        <v>277</v>
      </c>
      <c r="F151" s="2" t="s">
        <v>12</v>
      </c>
      <c r="G151" s="2"/>
      <c r="H151" s="3"/>
    </row>
    <row r="152" customFormat="false" ht="15" hidden="false" customHeight="false" outlineLevel="0" collapsed="false">
      <c r="A152" s="2" t="s">
        <v>251</v>
      </c>
      <c r="B152" s="3" t="s">
        <v>278</v>
      </c>
      <c r="C152" s="2" t="s">
        <v>10</v>
      </c>
      <c r="D152" s="2" t="n">
        <v>2045467995</v>
      </c>
      <c r="E152" s="2" t="s">
        <v>279</v>
      </c>
      <c r="F152" s="2" t="s">
        <v>280</v>
      </c>
      <c r="G152" s="2"/>
      <c r="H152" s="3"/>
    </row>
    <row r="153" customFormat="false" ht="15" hidden="false" customHeight="false" outlineLevel="0" collapsed="false">
      <c r="A153" s="2" t="s">
        <v>251</v>
      </c>
      <c r="B153" s="3" t="s">
        <v>278</v>
      </c>
      <c r="C153" s="2" t="s">
        <v>10</v>
      </c>
      <c r="D153" s="2" t="n">
        <v>2047477995</v>
      </c>
      <c r="E153" s="2" t="s">
        <v>281</v>
      </c>
      <c r="F153" s="2" t="s">
        <v>282</v>
      </c>
      <c r="G153" s="2"/>
      <c r="H153" s="3"/>
    </row>
    <row r="154" customFormat="false" ht="15" hidden="false" customHeight="false" outlineLevel="0" collapsed="false">
      <c r="A154" s="2" t="s">
        <v>251</v>
      </c>
      <c r="B154" s="3" t="s">
        <v>283</v>
      </c>
      <c r="C154" s="2" t="s">
        <v>10</v>
      </c>
      <c r="D154" s="2" t="n">
        <v>2047427950</v>
      </c>
      <c r="E154" s="2" t="s">
        <v>284</v>
      </c>
      <c r="F154" s="2" t="s">
        <v>12</v>
      </c>
      <c r="G154" s="2"/>
      <c r="H154" s="3"/>
    </row>
    <row r="155" customFormat="false" ht="15" hidden="false" customHeight="false" outlineLevel="0" collapsed="false">
      <c r="A155" s="2" t="s">
        <v>251</v>
      </c>
      <c r="B155" s="3" t="s">
        <v>285</v>
      </c>
      <c r="C155" s="2" t="s">
        <v>10</v>
      </c>
      <c r="D155" s="2" t="n">
        <v>2044457950</v>
      </c>
      <c r="E155" s="2" t="s">
        <v>286</v>
      </c>
      <c r="F155" s="2" t="s">
        <v>12</v>
      </c>
      <c r="G155" s="2"/>
      <c r="H155" s="3"/>
    </row>
    <row r="156" customFormat="false" ht="15" hidden="false" customHeight="false" outlineLevel="0" collapsed="false">
      <c r="A156" s="2" t="s">
        <v>251</v>
      </c>
      <c r="B156" s="3" t="s">
        <v>285</v>
      </c>
      <c r="C156" s="2" t="s">
        <v>10</v>
      </c>
      <c r="D156" s="2" t="n">
        <v>2046477955</v>
      </c>
      <c r="E156" s="2" t="s">
        <v>287</v>
      </c>
      <c r="F156" s="2" t="s">
        <v>12</v>
      </c>
      <c r="G156" s="2"/>
      <c r="H156" s="3"/>
    </row>
    <row r="157" customFormat="false" ht="15" hidden="false" customHeight="false" outlineLevel="0" collapsed="false">
      <c r="A157" s="2" t="s">
        <v>251</v>
      </c>
      <c r="B157" s="3" t="s">
        <v>288</v>
      </c>
      <c r="C157" s="2" t="s">
        <v>10</v>
      </c>
      <c r="D157" s="2" t="n">
        <v>2047397995</v>
      </c>
      <c r="E157" s="2" t="s">
        <v>289</v>
      </c>
      <c r="F157" s="2" t="s">
        <v>12</v>
      </c>
      <c r="G157" s="2"/>
      <c r="H157" s="3"/>
    </row>
    <row r="158" customFormat="false" ht="15" hidden="false" customHeight="false" outlineLevel="0" collapsed="false">
      <c r="A158" s="2" t="s">
        <v>290</v>
      </c>
      <c r="B158" s="3" t="s">
        <v>291</v>
      </c>
      <c r="C158" s="2" t="s">
        <v>10</v>
      </c>
      <c r="D158" s="2" t="n">
        <v>11007989</v>
      </c>
      <c r="E158" s="2" t="s">
        <v>292</v>
      </c>
      <c r="F158" s="2" t="s">
        <v>12</v>
      </c>
      <c r="G158" s="2"/>
      <c r="H158" s="3"/>
    </row>
    <row r="159" customFormat="false" ht="15" hidden="false" customHeight="false" outlineLevel="0" collapsed="false">
      <c r="A159" s="2" t="s">
        <v>290</v>
      </c>
      <c r="B159" s="3" t="s">
        <v>293</v>
      </c>
      <c r="C159" s="2" t="s">
        <v>14</v>
      </c>
      <c r="D159" s="2" t="n">
        <v>11007992</v>
      </c>
      <c r="E159" s="2" t="s">
        <v>294</v>
      </c>
      <c r="F159" s="2" t="s">
        <v>295</v>
      </c>
      <c r="G159" s="2"/>
      <c r="H159" s="3"/>
    </row>
    <row r="160" customFormat="false" ht="15" hidden="false" customHeight="false" outlineLevel="0" collapsed="false">
      <c r="A160" s="2" t="s">
        <v>290</v>
      </c>
      <c r="B160" s="3" t="s">
        <v>207</v>
      </c>
      <c r="C160" s="2" t="s">
        <v>10</v>
      </c>
      <c r="D160" s="2" t="n">
        <v>11007983</v>
      </c>
      <c r="E160" s="2" t="s">
        <v>296</v>
      </c>
      <c r="F160" s="2" t="s">
        <v>297</v>
      </c>
      <c r="G160" s="2"/>
      <c r="H160" s="3"/>
    </row>
    <row r="161" customFormat="false" ht="23.85" hidden="false" customHeight="false" outlineLevel="0" collapsed="false">
      <c r="A161" s="2" t="s">
        <v>298</v>
      </c>
      <c r="B161" s="3" t="s">
        <v>299</v>
      </c>
      <c r="C161" s="2" t="s">
        <v>300</v>
      </c>
      <c r="D161" s="2" t="n">
        <v>1038457500</v>
      </c>
      <c r="E161" s="2" t="s">
        <v>301</v>
      </c>
      <c r="F161" s="2" t="s">
        <v>12</v>
      </c>
      <c r="G161" s="2"/>
      <c r="H161" s="3"/>
    </row>
    <row r="162" customFormat="false" ht="15" hidden="false" customHeight="false" outlineLevel="0" collapsed="false">
      <c r="A162" s="2" t="s">
        <v>302</v>
      </c>
      <c r="B162" s="3" t="s">
        <v>303</v>
      </c>
      <c r="C162" s="2" t="s">
        <v>10</v>
      </c>
      <c r="D162" s="2" t="n">
        <v>15001300</v>
      </c>
      <c r="E162" s="2" t="s">
        <v>304</v>
      </c>
      <c r="F162" s="2" t="s">
        <v>12</v>
      </c>
      <c r="G162" s="2"/>
      <c r="H162" s="3"/>
    </row>
    <row r="163" customFormat="false" ht="15" hidden="false" customHeight="false" outlineLevel="0" collapsed="false">
      <c r="A163" s="2" t="s">
        <v>302</v>
      </c>
      <c r="B163" s="3" t="s">
        <v>303</v>
      </c>
      <c r="C163" s="2" t="s">
        <v>10</v>
      </c>
      <c r="D163" s="2" t="n">
        <v>15001310</v>
      </c>
      <c r="E163" s="2" t="s">
        <v>305</v>
      </c>
      <c r="F163" s="2" t="s">
        <v>12</v>
      </c>
      <c r="G163" s="2"/>
      <c r="H163" s="3"/>
    </row>
    <row r="164" customFormat="false" ht="15" hidden="false" customHeight="false" outlineLevel="0" collapsed="false">
      <c r="A164" s="2" t="s">
        <v>302</v>
      </c>
      <c r="B164" s="3" t="s">
        <v>303</v>
      </c>
      <c r="C164" s="2" t="s">
        <v>10</v>
      </c>
      <c r="D164" s="2" t="n">
        <v>15001320</v>
      </c>
      <c r="E164" s="2" t="s">
        <v>306</v>
      </c>
      <c r="F164" s="2" t="s">
        <v>12</v>
      </c>
      <c r="G164" s="2"/>
      <c r="H164" s="3"/>
    </row>
    <row r="165" customFormat="false" ht="15" hidden="false" customHeight="false" outlineLevel="0" collapsed="false">
      <c r="A165" s="2" t="s">
        <v>302</v>
      </c>
      <c r="B165" s="3" t="s">
        <v>303</v>
      </c>
      <c r="C165" s="2" t="s">
        <v>10</v>
      </c>
      <c r="D165" s="2" t="n">
        <v>15001330</v>
      </c>
      <c r="E165" s="2" t="s">
        <v>307</v>
      </c>
      <c r="F165" s="2" t="s">
        <v>12</v>
      </c>
      <c r="G165" s="2"/>
      <c r="H165" s="3"/>
    </row>
    <row r="166" customFormat="false" ht="15" hidden="false" customHeight="false" outlineLevel="0" collapsed="false">
      <c r="A166" s="2" t="s">
        <v>302</v>
      </c>
      <c r="B166" s="3" t="s">
        <v>303</v>
      </c>
      <c r="C166" s="2" t="s">
        <v>10</v>
      </c>
      <c r="D166" s="2" t="n">
        <v>15001340</v>
      </c>
      <c r="E166" s="2" t="s">
        <v>308</v>
      </c>
      <c r="F166" s="2" t="s">
        <v>12</v>
      </c>
      <c r="G166" s="2"/>
      <c r="H166" s="3"/>
    </row>
    <row r="167" customFormat="false" ht="15" hidden="false" customHeight="false" outlineLevel="0" collapsed="false">
      <c r="A167" s="2" t="s">
        <v>309</v>
      </c>
      <c r="B167" s="3" t="s">
        <v>275</v>
      </c>
      <c r="C167" s="2" t="s">
        <v>10</v>
      </c>
      <c r="D167" s="2" t="n">
        <v>20007900</v>
      </c>
      <c r="E167" s="2" t="s">
        <v>310</v>
      </c>
      <c r="F167" s="2" t="s">
        <v>12</v>
      </c>
      <c r="G167" s="2"/>
      <c r="H167" s="3"/>
    </row>
    <row r="168" customFormat="false" ht="15" hidden="false" customHeight="false" outlineLevel="0" collapsed="false">
      <c r="A168" s="2" t="s">
        <v>309</v>
      </c>
      <c r="B168" s="3" t="s">
        <v>275</v>
      </c>
      <c r="C168" s="2" t="s">
        <v>10</v>
      </c>
      <c r="D168" s="2" t="n">
        <v>20017900</v>
      </c>
      <c r="E168" s="2" t="s">
        <v>311</v>
      </c>
      <c r="F168" s="2" t="s">
        <v>12</v>
      </c>
      <c r="G168" s="2"/>
      <c r="H168" s="3"/>
    </row>
    <row r="169" customFormat="false" ht="15" hidden="false" customHeight="false" outlineLevel="0" collapsed="false">
      <c r="A169" s="2" t="s">
        <v>312</v>
      </c>
      <c r="B169" s="3" t="s">
        <v>313</v>
      </c>
      <c r="C169" s="2" t="s">
        <v>14</v>
      </c>
      <c r="D169" s="2" t="n">
        <v>14007995</v>
      </c>
      <c r="E169" s="2" t="s">
        <v>314</v>
      </c>
      <c r="F169" s="2" t="s">
        <v>315</v>
      </c>
      <c r="G169" s="2"/>
      <c r="H169" s="3"/>
    </row>
    <row r="170" customFormat="false" ht="15" hidden="false" customHeight="false" outlineLevel="0" collapsed="false">
      <c r="A170" s="2" t="s">
        <v>316</v>
      </c>
      <c r="B170" s="3" t="s">
        <v>317</v>
      </c>
      <c r="C170" s="2" t="s">
        <v>318</v>
      </c>
      <c r="D170" s="2" t="n">
        <v>68910</v>
      </c>
      <c r="E170" s="2" t="s">
        <v>319</v>
      </c>
      <c r="F170" s="2" t="s">
        <v>12</v>
      </c>
      <c r="G170" s="2"/>
      <c r="H170" s="3"/>
    </row>
    <row r="171" customFormat="false" ht="15" hidden="false" customHeight="false" outlineLevel="0" collapsed="false">
      <c r="A171" s="2" t="s">
        <v>320</v>
      </c>
      <c r="B171" s="3" t="s">
        <v>26</v>
      </c>
      <c r="C171" s="2" t="s">
        <v>14</v>
      </c>
      <c r="D171" s="2" t="n">
        <v>32117700</v>
      </c>
      <c r="E171" s="2" t="s">
        <v>321</v>
      </c>
      <c r="F171" s="2" t="s">
        <v>322</v>
      </c>
      <c r="G171" s="2"/>
      <c r="H171" s="3"/>
    </row>
    <row r="172" customFormat="false" ht="15" hidden="false" customHeight="false" outlineLevel="0" collapsed="false">
      <c r="A172" s="2" t="s">
        <v>323</v>
      </c>
      <c r="B172" s="3" t="s">
        <v>324</v>
      </c>
      <c r="C172" s="2" t="s">
        <v>14</v>
      </c>
      <c r="D172" s="2" t="n">
        <v>16007980</v>
      </c>
      <c r="E172" s="2" t="s">
        <v>325</v>
      </c>
      <c r="F172" s="2" t="s">
        <v>326</v>
      </c>
      <c r="G172" s="2"/>
      <c r="H172" s="3"/>
    </row>
    <row r="173" customFormat="false" ht="15" hidden="false" customHeight="false" outlineLevel="0" collapsed="false">
      <c r="A173" s="2" t="s">
        <v>323</v>
      </c>
      <c r="B173" s="3" t="s">
        <v>327</v>
      </c>
      <c r="C173" s="2" t="s">
        <v>14</v>
      </c>
      <c r="D173" s="2" t="n">
        <v>16007960</v>
      </c>
      <c r="E173" s="2" t="s">
        <v>328</v>
      </c>
      <c r="F173" s="2" t="s">
        <v>329</v>
      </c>
      <c r="G173" s="2"/>
      <c r="H173" s="3"/>
    </row>
    <row r="174" customFormat="false" ht="15" hidden="false" customHeight="false" outlineLevel="0" collapsed="false">
      <c r="A174" s="2" t="s">
        <v>323</v>
      </c>
      <c r="B174" s="3" t="s">
        <v>327</v>
      </c>
      <c r="C174" s="2" t="s">
        <v>14</v>
      </c>
      <c r="D174" s="2" t="n">
        <v>16007970</v>
      </c>
      <c r="E174" s="2" t="s">
        <v>330</v>
      </c>
      <c r="F174" s="2" t="s">
        <v>331</v>
      </c>
      <c r="G174" s="2"/>
      <c r="H174" s="3"/>
    </row>
    <row r="175" customFormat="false" ht="15" hidden="false" customHeight="false" outlineLevel="0" collapsed="false">
      <c r="A175" s="2" t="s">
        <v>332</v>
      </c>
      <c r="B175" s="3" t="s">
        <v>283</v>
      </c>
      <c r="C175" s="2" t="s">
        <v>10</v>
      </c>
      <c r="D175" s="2" t="n">
        <v>22007910</v>
      </c>
      <c r="E175" s="2" t="s">
        <v>333</v>
      </c>
      <c r="F175" s="2" t="s">
        <v>12</v>
      </c>
      <c r="G175" s="2"/>
      <c r="H175" s="3"/>
    </row>
    <row r="176" customFormat="false" ht="15" hidden="false" customHeight="false" outlineLevel="0" collapsed="false">
      <c r="A176" s="2" t="s">
        <v>334</v>
      </c>
      <c r="B176" s="3" t="s">
        <v>275</v>
      </c>
      <c r="C176" s="2" t="s">
        <v>10</v>
      </c>
      <c r="D176" s="2" t="n">
        <v>28007900</v>
      </c>
      <c r="E176" s="2" t="s">
        <v>335</v>
      </c>
      <c r="F176" s="2" t="s">
        <v>12</v>
      </c>
      <c r="G176" s="2"/>
      <c r="H176" s="3"/>
    </row>
  </sheetData>
  <autoFilter ref="A1:H1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8" t="s">
        <v>0</v>
      </c>
      <c r="B1" s="8" t="s">
        <v>336</v>
      </c>
    </row>
    <row r="2" customFormat="false" ht="15" hidden="false" customHeight="false" outlineLevel="0" collapsed="false">
      <c r="A2" s="0" t="s">
        <v>337</v>
      </c>
      <c r="B2" s="0" t="n">
        <f aca="false">COUNTIF('Tier1 Boss-Drop Candidates'!A2:A176,"Global*")</f>
        <v>120</v>
      </c>
    </row>
    <row r="3" customFormat="false" ht="15" hidden="false" customHeight="false" outlineLevel="0" collapsed="false">
      <c r="A3" s="0" t="s">
        <v>251</v>
      </c>
      <c r="B3" s="0" t="n">
        <f aca="false">COUNTIF('Tier1 Boss-Drop Candidates'!A2:A176,"Land of Shadow (DLC)*")</f>
        <v>18</v>
      </c>
    </row>
    <row r="4" customFormat="false" ht="15" hidden="false" customHeight="false" outlineLevel="0" collapsed="false">
      <c r="A4" s="0" t="s">
        <v>338</v>
      </c>
      <c r="B4" s="0" t="n">
        <f aca="false">COUNTIF('Tier1 Boss-Drop Candidates'!A2:A176,"Eternal Cities*")</f>
        <v>8</v>
      </c>
    </row>
    <row r="5" customFormat="false" ht="15" hidden="false" customHeight="false" outlineLevel="0" collapsed="false">
      <c r="A5" s="0" t="s">
        <v>241</v>
      </c>
      <c r="B5" s="0" t="n">
        <f aca="false">COUNTIF('Tier1 Boss-Drop Candidates'!A2:A176,"Hero's Graves (Catacombs)*")</f>
        <v>5</v>
      </c>
    </row>
    <row r="6" customFormat="false" ht="15" hidden="false" customHeight="false" outlineLevel="0" collapsed="false">
      <c r="A6" s="0" t="s">
        <v>339</v>
      </c>
      <c r="B6" s="0" t="n">
        <f aca="false">COUNTIF('Tier1 Boss-Drop Candidates'!A2:A176,"Miquella's Haligtree*")</f>
        <v>5</v>
      </c>
    </row>
    <row r="7" customFormat="false" ht="15" hidden="false" customHeight="false" outlineLevel="0" collapsed="false">
      <c r="A7" s="0" t="s">
        <v>17</v>
      </c>
      <c r="B7" s="0" t="n">
        <f aca="false">COUNTIF('Tier1 Boss-Drop Candidates'!A2:A176,"Divine Tower*")</f>
        <v>3</v>
      </c>
    </row>
    <row r="8" customFormat="false" ht="15" hidden="false" customHeight="false" outlineLevel="0" collapsed="false">
      <c r="A8" s="0" t="s">
        <v>340</v>
      </c>
      <c r="B8" s="0" t="n">
        <f aca="false">COUNTIF('Tier1 Boss-Drop Candidates'!A2:A176,"Leyndell*")</f>
        <v>3</v>
      </c>
    </row>
    <row r="9" customFormat="false" ht="15" hidden="false" customHeight="false" outlineLevel="0" collapsed="false">
      <c r="A9" s="0" t="s">
        <v>341</v>
      </c>
      <c r="B9" s="0" t="n">
        <f aca="false">COUNTIF('Tier1 Boss-Drop Candidates'!A2:A176,"Volcano Manor*")</f>
        <v>3</v>
      </c>
    </row>
    <row r="10" customFormat="false" ht="15" hidden="false" customHeight="false" outlineLevel="0" collapsed="false">
      <c r="A10" s="0" t="s">
        <v>8</v>
      </c>
      <c r="B10" s="0" t="n">
        <f aca="false">COUNTIF('Tier1 Boss-Drop Candidates'!A2:A176,"Caves*")</f>
        <v>2</v>
      </c>
    </row>
    <row r="11" customFormat="false" ht="15" hidden="false" customHeight="false" outlineLevel="0" collapsed="false">
      <c r="A11" s="0" t="s">
        <v>342</v>
      </c>
      <c r="B11" s="0" t="n">
        <f aca="false">COUNTIF('Tier1 Boss-Drop Candidates'!A2:A176,"Mohgwyn*")</f>
        <v>2</v>
      </c>
    </row>
    <row r="12" customFormat="false" ht="15" hidden="false" customHeight="false" outlineLevel="0" collapsed="false">
      <c r="A12" s="0" t="s">
        <v>298</v>
      </c>
      <c r="B12" s="0" t="n">
        <f aca="false">COUNTIF('Tier1 Boss-Drop Candidates'!A2:A176,"Liurnia of the Lakes*")</f>
        <v>1</v>
      </c>
    </row>
    <row r="13" customFormat="false" ht="15" hidden="false" customHeight="false" outlineLevel="0" collapsed="false">
      <c r="A13" s="0" t="s">
        <v>312</v>
      </c>
      <c r="B13" s="0" t="n">
        <f aca="false">COUNTIF('Tier1 Boss-Drop Candidates'!A2:A176,"Raya Lucaria Academy*")</f>
        <v>1</v>
      </c>
    </row>
    <row r="14" customFormat="false" ht="15" hidden="false" customHeight="false" outlineLevel="0" collapsed="false">
      <c r="A14" s="0" t="s">
        <v>316</v>
      </c>
      <c r="B14" s="0" t="n">
        <f aca="false">COUNTIF('Tier1 Boss-Drop Candidates'!A2:A176,"Scadu Altus (DLC)*")</f>
        <v>1</v>
      </c>
    </row>
    <row r="15" customFormat="false" ht="15" hidden="false" customHeight="false" outlineLevel="0" collapsed="false">
      <c r="A15" s="0" t="s">
        <v>320</v>
      </c>
      <c r="B15" s="0" t="n">
        <f aca="false">COUNTIF('Tier1 Boss-Drop Candidates'!A2:A176,"Tunnels*")</f>
        <v>1</v>
      </c>
    </row>
    <row r="16" customFormat="false" ht="15" hidden="false" customHeight="false" outlineLevel="0" collapsed="false">
      <c r="A16" s="0" t="s">
        <v>332</v>
      </c>
      <c r="B16" s="0" t="n">
        <f aca="false">COUNTIF('Tier1 Boss-Drop Candidates'!A2:A176,"m22*")</f>
        <v>1</v>
      </c>
    </row>
    <row r="17" customFormat="false" ht="15" hidden="false" customHeight="false" outlineLevel="0" collapsed="false">
      <c r="A17" s="0" t="s">
        <v>334</v>
      </c>
      <c r="B17" s="0" t="n">
        <f aca="false">COUNTIF('Tier1 Boss-Drop Candidates'!A2:A176,"m28*")</f>
        <v>1</v>
      </c>
    </row>
    <row r="18" customFormat="false" ht="15" hidden="false" customHeight="false" outlineLevel="0" collapsed="false">
      <c r="A18" s="0" t="s">
        <v>343</v>
      </c>
      <c r="B18" s="0" t="n">
        <f aca="false">SUBTOTAL(103,'Tier1 Boss-Drop Candidates'!A2:A176)</f>
        <v>175</v>
      </c>
    </row>
    <row r="20" customFormat="false" ht="15" hidden="false" customHeight="false" outlineLevel="0" collapsed="false">
      <c r="A20" s="9" t="s">
        <v>344</v>
      </c>
      <c r="B20" s="9" t="s">
        <v>345</v>
      </c>
    </row>
    <row r="21" customFormat="false" ht="15" hidden="false" customHeight="false" outlineLevel="0" collapsed="false">
      <c r="A21" s="9"/>
      <c r="B21" s="9" t="s">
        <v>346</v>
      </c>
    </row>
    <row r="22" customFormat="false" ht="15" hidden="false" customHeight="false" outlineLevel="0" collapsed="false">
      <c r="A22" s="9"/>
      <c r="B22" s="9" t="s">
        <v>347</v>
      </c>
    </row>
    <row r="23" customFormat="false" ht="15" hidden="false" customHeight="false" outlineLevel="0" collapsed="false">
      <c r="A23" s="9"/>
      <c r="B23" s="9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2026-07-08T14:49:25Z</dcterms:created>
  <dc:creator>openpyxl</dc:creator>
  <dc:description/>
  <dc:language>en-US</dc:language>
  <cp:lastModifiedBy/>
  <dcterms:modified xsi:type="dcterms:W3CDTF">2026-07-08T14:49:25Z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