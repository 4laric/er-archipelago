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g-Ticket Audit" sheetId="1" state="visible" r:id="rId3"/>
    <sheet name="Summary" sheetId="2" state="visible" r:id="rId4"/>
  </sheets>
  <definedNames>
    <definedName function="false" hidden="true" localSheetId="0" name="_xlnm._FilterDatabase" vbProcedure="false">'Big-Ticket Audit'!$A$1:$I$74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<sst xmlns="http://schemas.openxmlformats.org/spreadsheetml/2006/main" count="385" uniqueCount="173">
  <si>
    <t xml:space="preserve">Region</t>
  </si>
  <si>
    <t xml:space="preserve">Location</t>
  </si>
  <si>
    <t xml:space="preserve">Big-Ticket Type</t>
  </si>
  <si>
    <t xml:space="preserve">All Tags</t>
  </si>
  <si>
    <t xml:space="preserve">Vanilla Item</t>
  </si>
  <si>
    <t xml:space="preserve">AP ID</t>
  </si>
  <si>
    <t xml:space="preserve">Flag</t>
  </si>
  <si>
    <t xml:space="preserve">Keep? (Y/N)</t>
  </si>
  <si>
    <t xml:space="preserve">Notes</t>
  </si>
  <si>
    <t xml:space="preserve">Abyssal Woods</t>
  </si>
  <si>
    <t xml:space="preserve">Remembrance of the Lord of Frenzied Flame [f510560]</t>
  </si>
  <si>
    <t xml:space="preserve">Boss+Remembrance</t>
  </si>
  <si>
    <t xml:space="preserve">Remembrance of the Lord of Frenzied Flame</t>
  </si>
  <si>
    <t xml:space="preserve">Altus Plateau</t>
  </si>
  <si>
    <t xml:space="preserve">Black Knife [f530350]</t>
  </si>
  <si>
    <t xml:space="preserve">Legendary</t>
  </si>
  <si>
    <t xml:space="preserve">Black Knife</t>
  </si>
  <si>
    <t xml:space="preserve">Godfrey Icon [f1039507100]</t>
  </si>
  <si>
    <t xml:space="preserve">Godfrey Icon</t>
  </si>
  <si>
    <t xml:space="preserve">Rykard's Great Rune [f194]</t>
  </si>
  <si>
    <t xml:space="preserve">GreatRune</t>
  </si>
  <si>
    <t xml:space="preserve">Rykard's Great Rune</t>
  </si>
  <si>
    <t xml:space="preserve">Belurat</t>
  </si>
  <si>
    <t xml:space="preserve">Ancient Meteoric Ore Greatsword [f42027000]</t>
  </si>
  <si>
    <t xml:space="preserve">Ancient Meteoric Ore Greatsword</t>
  </si>
  <si>
    <t xml:space="preserve">Remembrance of the Dancing Lion [f510400]</t>
  </si>
  <si>
    <t xml:space="preserve">Remembrance of the Dancing Lion</t>
  </si>
  <si>
    <t xml:space="preserve">Remembrance of the Twin Moon Knight [f510900]</t>
  </si>
  <si>
    <t xml:space="preserve">Remembrance of the Twin Moon Knight</t>
  </si>
  <si>
    <t xml:space="preserve">Caelid</t>
  </si>
  <si>
    <t xml:space="preserve">Dectus Medallion (Right) [f1051397900]</t>
  </si>
  <si>
    <t xml:space="preserve">KeyItem</t>
  </si>
  <si>
    <t xml:space="preserve">Dectus Medallion (Right)</t>
  </si>
  <si>
    <t xml:space="preserve">Godslayer's Greatsword [f34137900]</t>
  </si>
  <si>
    <t xml:space="preserve">Godslayer's Greatsword</t>
  </si>
  <si>
    <t xml:space="preserve">Imbued Sword Key [f1050397910]</t>
  </si>
  <si>
    <t xml:space="preserve">Imbued Sword Key</t>
  </si>
  <si>
    <t xml:space="preserve">Malenia's Great Rune [f196]</t>
  </si>
  <si>
    <t xml:space="preserve">Malenia's Great Rune</t>
  </si>
  <si>
    <t xml:space="preserve">Radagon's Soreseal [f1051397060]</t>
  </si>
  <si>
    <t xml:space="preserve">Radagon's Soreseal</t>
  </si>
  <si>
    <t xml:space="preserve">Radahn's Great Rune [f172]</t>
  </si>
  <si>
    <t xml:space="preserve">Boss+GreatRune</t>
  </si>
  <si>
    <t xml:space="preserve">Radahn's Great Rune</t>
  </si>
  <si>
    <t xml:space="preserve">Radahn's Great Rune [f192]</t>
  </si>
  <si>
    <t xml:space="preserve">Eternal Cities</t>
  </si>
  <si>
    <t xml:space="preserve">Moon of Nokstella [f12017960]</t>
  </si>
  <si>
    <t xml:space="preserve">Moon of Nokstella</t>
  </si>
  <si>
    <t xml:space="preserve">Remembrance of the Lichdragon [f510110]</t>
  </si>
  <si>
    <t xml:space="preserve">Remembrance of the Lichdragon</t>
  </si>
  <si>
    <t xml:space="preserve">Remembrance of the Naturalborn [f510080]</t>
  </si>
  <si>
    <t xml:space="preserve">Remembrance of the Naturalborn</t>
  </si>
  <si>
    <t xml:space="preserve">Remembrance of the Regal Ancestor [f510330]</t>
  </si>
  <si>
    <t xml:space="preserve">Remembrance of the Regal Ancestor</t>
  </si>
  <si>
    <t xml:space="preserve">St. Trina's Blossom [f400740]</t>
  </si>
  <si>
    <t xml:space="preserve">St. Trina's Blossom</t>
  </si>
  <si>
    <t xml:space="preserve">Farum Azula</t>
  </si>
  <si>
    <t xml:space="preserve">Morgott's Great Rune [f173]</t>
  </si>
  <si>
    <t xml:space="preserve">Morgott's Great Rune</t>
  </si>
  <si>
    <t xml:space="preserve">Old Lord's Talisman [f13007950]</t>
  </si>
  <si>
    <t xml:space="preserve">Old Lord's Talisman</t>
  </si>
  <si>
    <t xml:space="preserve">Remembrance of the Black Blade [f510160]</t>
  </si>
  <si>
    <t xml:space="preserve">Remembrance of the Black Blade</t>
  </si>
  <si>
    <t xml:space="preserve">Remembrance of the Dragonlord [f510150]</t>
  </si>
  <si>
    <t xml:space="preserve">Remembrance of the Dragonlord</t>
  </si>
  <si>
    <t xml:space="preserve">Land of Shadow</t>
  </si>
  <si>
    <t xml:space="preserve">Gaius's Greaves [f2049490900]</t>
  </si>
  <si>
    <t xml:space="preserve">Gaius's Greaves</t>
  </si>
  <si>
    <t xml:space="preserve">Imbued Sword Key [f2048447800]</t>
  </si>
  <si>
    <t xml:space="preserve">Remembrance of Putrescence [f510480]</t>
  </si>
  <si>
    <t xml:space="preserve">Remembrance of Putrescence</t>
  </si>
  <si>
    <t xml:space="preserve">Remembrance of a God and a Lord [f510430]</t>
  </si>
  <si>
    <t xml:space="preserve">Remembrance of a God and a Lord</t>
  </si>
  <si>
    <t xml:space="preserve">Sword of Darkness [f2045477700]</t>
  </si>
  <si>
    <t xml:space="preserve">Sword of Darkness</t>
  </si>
  <si>
    <t xml:space="preserve">Sword of Light [f2045477500]</t>
  </si>
  <si>
    <t xml:space="preserve">Sword of Light</t>
  </si>
  <si>
    <t xml:space="preserve">Leyndell</t>
  </si>
  <si>
    <t xml:space="preserve">Bolt of Gransax [f11007997]</t>
  </si>
  <si>
    <t xml:space="preserve">Bolt of Gransax</t>
  </si>
  <si>
    <t xml:space="preserve">Elden Remembrance [f510230]</t>
  </si>
  <si>
    <t xml:space="preserve">Elden Remembrance</t>
  </si>
  <si>
    <t xml:space="preserve">Erdtree's Favor +2 [f11057100]</t>
  </si>
  <si>
    <t xml:space="preserve">Erdtree's Favor +2</t>
  </si>
  <si>
    <t xml:space="preserve">Haligtree Secret Medallion (Left) [f400280]</t>
  </si>
  <si>
    <t xml:space="preserve">Haligtree Secret Medallion (Left)</t>
  </si>
  <si>
    <t xml:space="preserve">Mohg's Great Rune [f195]</t>
  </si>
  <si>
    <t xml:space="preserve">Mohg's Great Rune</t>
  </si>
  <si>
    <t xml:space="preserve">Morgott's Great Rune [f193]</t>
  </si>
  <si>
    <t xml:space="preserve">Remembrance of Hoarah Loux [f510070]</t>
  </si>
  <si>
    <t xml:space="preserve">Remembrance of Hoarah Loux</t>
  </si>
  <si>
    <t xml:space="preserve">Remembrance of the Omen King [f510040]</t>
  </si>
  <si>
    <t xml:space="preserve">Remembrance of the Omen King</t>
  </si>
  <si>
    <t xml:space="preserve">Remembrance of the Rot Goddess [f510200]</t>
  </si>
  <si>
    <t xml:space="preserve">Remembrance</t>
  </si>
  <si>
    <t xml:space="preserve">Remembrance of the Rot Goddess</t>
  </si>
  <si>
    <t xml:space="preserve">Remembrance of the Starscourge [f510300]</t>
  </si>
  <si>
    <t xml:space="preserve">Remembrance of the Starscourge</t>
  </si>
  <si>
    <t xml:space="preserve">Rold Medallion [f400001]</t>
  </si>
  <si>
    <t xml:space="preserve">Rold Medallion</t>
  </si>
  <si>
    <t xml:space="preserve">Limgrave</t>
  </si>
  <si>
    <t xml:space="preserve">Dectus Medallion (Left) [f1046367500]</t>
  </si>
  <si>
    <t xml:space="preserve">Dectus Medallion (Left)</t>
  </si>
  <si>
    <t xml:space="preserve">Godrick's Great Rune [f191]</t>
  </si>
  <si>
    <t xml:space="preserve">Godrick's Great Rune</t>
  </si>
  <si>
    <t xml:space="preserve">Liurnia of the Lakes</t>
  </si>
  <si>
    <t xml:space="preserve">Academy Glintstone Key [f1034457100]</t>
  </si>
  <si>
    <t xml:space="preserve">Academy Glintstone Key</t>
  </si>
  <si>
    <t xml:space="preserve">Dark Moon Greatsword [f400393]</t>
  </si>
  <si>
    <t xml:space="preserve">Dark Moon Greatsword</t>
  </si>
  <si>
    <t xml:space="preserve">Haligtree Secret Medallion (Right) [f400130]</t>
  </si>
  <si>
    <t xml:space="preserve">Haligtree Secret Medallion (Right)</t>
  </si>
  <si>
    <t xml:space="preserve">Mohgwyn's Sacred Spear [f290100]</t>
  </si>
  <si>
    <t xml:space="preserve">Mohgwyn's Sacred Spear</t>
  </si>
  <si>
    <t xml:space="preserve">Miquella's Haligtree</t>
  </si>
  <si>
    <t xml:space="preserve">Dragoncrest Greatshield Talisman [f15007930]</t>
  </si>
  <si>
    <t xml:space="preserve">Dragoncrest Greatshield Talisman</t>
  </si>
  <si>
    <t xml:space="preserve">Malenia's Great Rune [f176]</t>
  </si>
  <si>
    <t xml:space="preserve">Marika's Soreseal [f15007800]</t>
  </si>
  <si>
    <t xml:space="preserve">Marika's Soreseal</t>
  </si>
  <si>
    <t xml:space="preserve">Mohgwyn Palace</t>
  </si>
  <si>
    <t xml:space="preserve">Circlet of Light [f20017981]</t>
  </si>
  <si>
    <t xml:space="preserve">Circlet of Light</t>
  </si>
  <si>
    <t xml:space="preserve">Divine Beast Head [f20007810]</t>
  </si>
  <si>
    <t xml:space="preserve">Divine Beast Head</t>
  </si>
  <si>
    <t xml:space="preserve">Euporia [f20007330]</t>
  </si>
  <si>
    <t xml:space="preserve">Euporia</t>
  </si>
  <si>
    <t xml:space="preserve">Mohg's Great Rune [f175]</t>
  </si>
  <si>
    <t xml:space="preserve">Remembrance of the Blood Lord [f510120]</t>
  </si>
  <si>
    <t xml:space="preserve">Remembrance of the Blood Lord</t>
  </si>
  <si>
    <t xml:space="preserve">Mountaintops of the Giants</t>
  </si>
  <si>
    <t xml:space="preserve">Eclipse Shotel [f1051577600]</t>
  </si>
  <si>
    <t xml:space="preserve">Eclipse Shotel</t>
  </si>
  <si>
    <t xml:space="preserve">Haligtree Secret Medallion (Left) [f1051587800]</t>
  </si>
  <si>
    <t xml:space="preserve">Remembrance of the Fire Giant [f510310]</t>
  </si>
  <si>
    <t xml:space="preserve">Remembrance of the Fire Giant</t>
  </si>
  <si>
    <t xml:space="preserve">Mt. Gelmir</t>
  </si>
  <si>
    <t xml:space="preserve">Drawing-Room Key [f400072]</t>
  </si>
  <si>
    <t xml:space="preserve">Drawing-Room Key</t>
  </si>
  <si>
    <t xml:space="preserve">Remembrance of the Blasphemous [f510220]</t>
  </si>
  <si>
    <t xml:space="preserve">Remembrance of the Blasphemous</t>
  </si>
  <si>
    <t xml:space="preserve">Rykard's Great Rune [f174]</t>
  </si>
  <si>
    <t xml:space="preserve">Raya Lucaria Academy</t>
  </si>
  <si>
    <t xml:space="preserve">Academy Glintstone Key [f14007930]</t>
  </si>
  <si>
    <t xml:space="preserve">Dark Moon Ring [f114]</t>
  </si>
  <si>
    <t xml:space="preserve">Dark Moon Ring</t>
  </si>
  <si>
    <t xml:space="preserve">Imbued Sword Key [f14007630]</t>
  </si>
  <si>
    <t xml:space="preserve">Radagon Icon [f14007940]</t>
  </si>
  <si>
    <t xml:space="preserve">Radagon Icon</t>
  </si>
  <si>
    <t xml:space="preserve">Scadu Altus</t>
  </si>
  <si>
    <t xml:space="preserve">Remembrance of the Mother of Fingers [f510550]</t>
  </si>
  <si>
    <t xml:space="preserve">Remembrance of the Mother of Fingers</t>
  </si>
  <si>
    <t xml:space="preserve">Remembrance of the Saint of the Bud [f510600]</t>
  </si>
  <si>
    <t xml:space="preserve">Remembrance of the Saint of the Bud</t>
  </si>
  <si>
    <t xml:space="preserve">Remembrance of the Shadow Sunflower [f510620]</t>
  </si>
  <si>
    <t xml:space="preserve">Remembrance of the Shadow Sunflower</t>
  </si>
  <si>
    <t xml:space="preserve">Remembrance of the Wild Boar Rider [f510640]</t>
  </si>
  <si>
    <t xml:space="preserve">Remembrance of the Wild Boar Rider</t>
  </si>
  <si>
    <t xml:space="preserve">Shadow Keep</t>
  </si>
  <si>
    <t xml:space="preserve">Remembrance of the Impaler [f510460]</t>
  </si>
  <si>
    <t xml:space="preserve">Remembrance of the Impaler</t>
  </si>
  <si>
    <t xml:space="preserve">Stormveil Castle</t>
  </si>
  <si>
    <t xml:space="preserve">Godrick's Great Rune [f171]</t>
  </si>
  <si>
    <t xml:space="preserve">Remembrance of the Full Moon Queen [f197]</t>
  </si>
  <si>
    <t xml:space="preserve">Remembrance of the Full Moon Queen</t>
  </si>
  <si>
    <t xml:space="preserve">Remembrance of the Grafted [f510010]</t>
  </si>
  <si>
    <t xml:space="preserve">Remembrance of the Grafted</t>
  </si>
  <si>
    <t xml:space="preserve">Rusty Key [f10007500]</t>
  </si>
  <si>
    <t xml:space="preserve">Rusty Key</t>
  </si>
  <si>
    <t xml:space="preserve">Count</t>
  </si>
  <si>
    <t xml:space="preserve">TOTAL</t>
  </si>
  <si>
    <t xml:space="preserve">Note</t>
  </si>
  <si>
    <t xml:space="preserve">Enia's 58 Shop+Legendary slots were EXCLUDED (commit 1449734). These 73 are what curated_fill locks + the F6 tracker flag.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</si>
</sst>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2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2" t="s">
        <v>11</v>
      </c>
      <c r="D2" s="2" t="s">
        <v>11</v>
      </c>
      <c r="E2" s="3" t="s">
        <v>12</v>
      </c>
      <c r="F2" s="4" t="n">
        <v>7770870</v>
      </c>
      <c r="G2" s="4" t="n">
        <v>510560</v>
      </c>
      <c r="H2" s="4"/>
      <c r="I2" s="5"/>
    </row>
    <row r="3" customFormat="false" ht="15" hidden="false" customHeight="false" outlineLevel="0" collapsed="false">
      <c r="A3" s="6" t="s">
        <v>13</v>
      </c>
      <c r="B3" s="7" t="s">
        <v>14</v>
      </c>
      <c r="C3" s="6" t="s">
        <v>15</v>
      </c>
      <c r="D3" s="6" t="s">
        <v>15</v>
      </c>
      <c r="E3" s="7" t="s">
        <v>16</v>
      </c>
      <c r="F3" s="4" t="n">
        <v>7770906</v>
      </c>
      <c r="G3" s="4" t="n">
        <v>530350</v>
      </c>
      <c r="H3" s="4"/>
      <c r="I3" s="5"/>
    </row>
    <row r="4" customFormat="false" ht="15" hidden="false" customHeight="false" outlineLevel="0" collapsed="false">
      <c r="A4" s="6" t="s">
        <v>13</v>
      </c>
      <c r="B4" s="7" t="s">
        <v>17</v>
      </c>
      <c r="C4" s="6" t="s">
        <v>15</v>
      </c>
      <c r="D4" s="6" t="s">
        <v>15</v>
      </c>
      <c r="E4" s="7" t="s">
        <v>18</v>
      </c>
      <c r="F4" s="4" t="n">
        <v>7772980</v>
      </c>
      <c r="G4" s="4" t="n">
        <v>1039507100</v>
      </c>
      <c r="H4" s="4"/>
      <c r="I4" s="5"/>
    </row>
    <row r="5" customFormat="false" ht="15" hidden="false" customHeight="false" outlineLevel="0" collapsed="false">
      <c r="A5" s="8" t="s">
        <v>13</v>
      </c>
      <c r="B5" s="9" t="s">
        <v>19</v>
      </c>
      <c r="C5" s="8" t="s">
        <v>20</v>
      </c>
      <c r="D5" s="8" t="s">
        <v>20</v>
      </c>
      <c r="E5" s="9" t="s">
        <v>21</v>
      </c>
      <c r="F5" s="4" t="n">
        <v>7770011</v>
      </c>
      <c r="G5" s="4" t="n">
        <v>194</v>
      </c>
      <c r="H5" s="4"/>
      <c r="I5" s="5"/>
    </row>
    <row r="6" customFormat="false" ht="23.85" hidden="false" customHeight="false" outlineLevel="0" collapsed="false">
      <c r="A6" s="6" t="s">
        <v>22</v>
      </c>
      <c r="B6" s="7" t="s">
        <v>23</v>
      </c>
      <c r="C6" s="6" t="s">
        <v>15</v>
      </c>
      <c r="D6" s="6" t="s">
        <v>15</v>
      </c>
      <c r="E6" s="7" t="s">
        <v>24</v>
      </c>
      <c r="F6" s="4" t="n">
        <v>7772691</v>
      </c>
      <c r="G6" s="4" t="n">
        <v>42027000</v>
      </c>
      <c r="H6" s="4"/>
      <c r="I6" s="5"/>
    </row>
    <row r="7" customFormat="false" ht="23.85" hidden="false" customHeight="false" outlineLevel="0" collapsed="false">
      <c r="A7" s="2" t="s">
        <v>22</v>
      </c>
      <c r="B7" s="3" t="s">
        <v>25</v>
      </c>
      <c r="C7" s="2" t="s">
        <v>11</v>
      </c>
      <c r="D7" s="2" t="s">
        <v>11</v>
      </c>
      <c r="E7" s="3" t="s">
        <v>26</v>
      </c>
      <c r="F7" s="4" t="n">
        <v>7770864</v>
      </c>
      <c r="G7" s="4" t="n">
        <v>510400</v>
      </c>
      <c r="H7" s="4"/>
      <c r="I7" s="5"/>
    </row>
    <row r="8" customFormat="false" ht="23.85" hidden="false" customHeight="false" outlineLevel="0" collapsed="false">
      <c r="A8" s="2" t="s">
        <v>22</v>
      </c>
      <c r="B8" s="3" t="s">
        <v>27</v>
      </c>
      <c r="C8" s="2" t="s">
        <v>11</v>
      </c>
      <c r="D8" s="2" t="s">
        <v>11</v>
      </c>
      <c r="E8" s="3" t="s">
        <v>28</v>
      </c>
      <c r="F8" s="4" t="n">
        <v>7770876</v>
      </c>
      <c r="G8" s="4" t="n">
        <v>510900</v>
      </c>
      <c r="H8" s="4"/>
      <c r="I8" s="5"/>
    </row>
    <row r="9" customFormat="false" ht="23.85" hidden="false" customHeight="false" outlineLevel="0" collapsed="false">
      <c r="A9" s="10" t="s">
        <v>29</v>
      </c>
      <c r="B9" s="11" t="s">
        <v>30</v>
      </c>
      <c r="C9" s="10" t="s">
        <v>31</v>
      </c>
      <c r="D9" s="10" t="s">
        <v>31</v>
      </c>
      <c r="E9" s="11" t="s">
        <v>32</v>
      </c>
      <c r="F9" s="4" t="n">
        <v>7773376</v>
      </c>
      <c r="G9" s="4" t="n">
        <v>1051397900</v>
      </c>
      <c r="H9" s="4"/>
      <c r="I9" s="5"/>
    </row>
    <row r="10" customFormat="false" ht="15" hidden="false" customHeight="false" outlineLevel="0" collapsed="false">
      <c r="A10" s="6" t="s">
        <v>29</v>
      </c>
      <c r="B10" s="7" t="s">
        <v>33</v>
      </c>
      <c r="C10" s="6" t="s">
        <v>15</v>
      </c>
      <c r="D10" s="6" t="s">
        <v>15</v>
      </c>
      <c r="E10" s="7" t="s">
        <v>34</v>
      </c>
      <c r="F10" s="4" t="n">
        <v>7772579</v>
      </c>
      <c r="G10" s="4" t="n">
        <v>34137900</v>
      </c>
      <c r="H10" s="4"/>
      <c r="I10" s="5"/>
    </row>
    <row r="11" customFormat="false" ht="15" hidden="false" customHeight="false" outlineLevel="0" collapsed="false">
      <c r="A11" s="10" t="s">
        <v>29</v>
      </c>
      <c r="B11" s="11" t="s">
        <v>35</v>
      </c>
      <c r="C11" s="10" t="s">
        <v>31</v>
      </c>
      <c r="D11" s="10" t="s">
        <v>31</v>
      </c>
      <c r="E11" s="11" t="s">
        <v>36</v>
      </c>
      <c r="F11" s="4" t="n">
        <v>7773336</v>
      </c>
      <c r="G11" s="4" t="n">
        <v>1050397910</v>
      </c>
      <c r="H11" s="4"/>
      <c r="I11" s="5"/>
    </row>
    <row r="12" customFormat="false" ht="15" hidden="false" customHeight="false" outlineLevel="0" collapsed="false">
      <c r="A12" s="8" t="s">
        <v>29</v>
      </c>
      <c r="B12" s="9" t="s">
        <v>37</v>
      </c>
      <c r="C12" s="8" t="s">
        <v>20</v>
      </c>
      <c r="D12" s="8" t="s">
        <v>20</v>
      </c>
      <c r="E12" s="9" t="s">
        <v>38</v>
      </c>
      <c r="F12" s="4" t="n">
        <v>7770013</v>
      </c>
      <c r="G12" s="4" t="n">
        <v>196</v>
      </c>
      <c r="H12" s="4"/>
      <c r="I12" s="5"/>
    </row>
    <row r="13" customFormat="false" ht="15" hidden="false" customHeight="false" outlineLevel="0" collapsed="false">
      <c r="A13" s="6" t="s">
        <v>29</v>
      </c>
      <c r="B13" s="7" t="s">
        <v>39</v>
      </c>
      <c r="C13" s="6" t="s">
        <v>15</v>
      </c>
      <c r="D13" s="6" t="s">
        <v>15</v>
      </c>
      <c r="E13" s="7" t="s">
        <v>40</v>
      </c>
      <c r="F13" s="4" t="n">
        <v>7773375</v>
      </c>
      <c r="G13" s="4" t="n">
        <v>1051397060</v>
      </c>
      <c r="H13" s="4"/>
      <c r="I13" s="5"/>
    </row>
    <row r="14" customFormat="false" ht="15" hidden="false" customHeight="false" outlineLevel="0" collapsed="false">
      <c r="A14" s="8" t="s">
        <v>29</v>
      </c>
      <c r="B14" s="9" t="s">
        <v>41</v>
      </c>
      <c r="C14" s="8" t="s">
        <v>42</v>
      </c>
      <c r="D14" s="8" t="s">
        <v>42</v>
      </c>
      <c r="E14" s="9" t="s">
        <v>43</v>
      </c>
      <c r="F14" s="4" t="n">
        <v>7770002</v>
      </c>
      <c r="G14" s="4" t="n">
        <v>172</v>
      </c>
      <c r="H14" s="4"/>
      <c r="I14" s="5"/>
    </row>
    <row r="15" customFormat="false" ht="15" hidden="false" customHeight="false" outlineLevel="0" collapsed="false">
      <c r="A15" s="8" t="s">
        <v>29</v>
      </c>
      <c r="B15" s="9" t="s">
        <v>44</v>
      </c>
      <c r="C15" s="8" t="s">
        <v>20</v>
      </c>
      <c r="D15" s="8" t="s">
        <v>20</v>
      </c>
      <c r="E15" s="9" t="s">
        <v>43</v>
      </c>
      <c r="F15" s="4" t="n">
        <v>7770009</v>
      </c>
      <c r="G15" s="4" t="n">
        <v>192</v>
      </c>
      <c r="H15" s="4"/>
      <c r="I15" s="5"/>
    </row>
    <row r="16" customFormat="false" ht="15" hidden="false" customHeight="false" outlineLevel="0" collapsed="false">
      <c r="A16" s="6" t="s">
        <v>45</v>
      </c>
      <c r="B16" s="7" t="s">
        <v>46</v>
      </c>
      <c r="C16" s="6" t="s">
        <v>15</v>
      </c>
      <c r="D16" s="6" t="s">
        <v>15</v>
      </c>
      <c r="E16" s="7" t="s">
        <v>47</v>
      </c>
      <c r="F16" s="4" t="n">
        <v>7771335</v>
      </c>
      <c r="G16" s="4" t="n">
        <v>12017960</v>
      </c>
      <c r="H16" s="4"/>
      <c r="I16" s="5"/>
    </row>
    <row r="17" customFormat="false" ht="23.85" hidden="false" customHeight="false" outlineLevel="0" collapsed="false">
      <c r="A17" s="2" t="s">
        <v>45</v>
      </c>
      <c r="B17" s="3" t="s">
        <v>48</v>
      </c>
      <c r="C17" s="2" t="s">
        <v>11</v>
      </c>
      <c r="D17" s="2" t="s">
        <v>11</v>
      </c>
      <c r="E17" s="3" t="s">
        <v>49</v>
      </c>
      <c r="F17" s="4" t="n">
        <v>7770854</v>
      </c>
      <c r="G17" s="4" t="n">
        <v>510110</v>
      </c>
      <c r="H17" s="4"/>
      <c r="I17" s="5"/>
    </row>
    <row r="18" customFormat="false" ht="23.85" hidden="false" customHeight="false" outlineLevel="0" collapsed="false">
      <c r="A18" s="2" t="s">
        <v>45</v>
      </c>
      <c r="B18" s="3" t="s">
        <v>50</v>
      </c>
      <c r="C18" s="2" t="s">
        <v>11</v>
      </c>
      <c r="D18" s="2" t="s">
        <v>11</v>
      </c>
      <c r="E18" s="3" t="s">
        <v>51</v>
      </c>
      <c r="F18" s="4" t="n">
        <v>7770852</v>
      </c>
      <c r="G18" s="4" t="n">
        <v>510080</v>
      </c>
      <c r="H18" s="4"/>
      <c r="I18" s="5"/>
    </row>
    <row r="19" customFormat="false" ht="23.85" hidden="false" customHeight="false" outlineLevel="0" collapsed="false">
      <c r="A19" s="2" t="s">
        <v>45</v>
      </c>
      <c r="B19" s="3" t="s">
        <v>52</v>
      </c>
      <c r="C19" s="2" t="s">
        <v>11</v>
      </c>
      <c r="D19" s="2" t="s">
        <v>11</v>
      </c>
      <c r="E19" s="3" t="s">
        <v>53</v>
      </c>
      <c r="F19" s="4" t="n">
        <v>7770863</v>
      </c>
      <c r="G19" s="4" t="n">
        <v>510330</v>
      </c>
      <c r="H19" s="4"/>
      <c r="I19" s="5"/>
    </row>
    <row r="20" customFormat="false" ht="15" hidden="false" customHeight="false" outlineLevel="0" collapsed="false">
      <c r="A20" s="6" t="s">
        <v>45</v>
      </c>
      <c r="B20" s="7" t="s">
        <v>54</v>
      </c>
      <c r="C20" s="6" t="s">
        <v>15</v>
      </c>
      <c r="D20" s="6" t="s">
        <v>15</v>
      </c>
      <c r="E20" s="7" t="s">
        <v>55</v>
      </c>
      <c r="F20" s="4" t="n">
        <v>7770848</v>
      </c>
      <c r="G20" s="4" t="n">
        <v>400740</v>
      </c>
      <c r="H20" s="4"/>
      <c r="I20" s="5"/>
    </row>
    <row r="21" customFormat="false" ht="15" hidden="false" customHeight="false" outlineLevel="0" collapsed="false">
      <c r="A21" s="8" t="s">
        <v>56</v>
      </c>
      <c r="B21" s="9" t="s">
        <v>57</v>
      </c>
      <c r="C21" s="8" t="s">
        <v>20</v>
      </c>
      <c r="D21" s="8" t="s">
        <v>20</v>
      </c>
      <c r="E21" s="9" t="s">
        <v>58</v>
      </c>
      <c r="F21" s="4" t="n">
        <v>7770003</v>
      </c>
      <c r="G21" s="4" t="n">
        <v>173</v>
      </c>
      <c r="H21" s="4"/>
      <c r="I21" s="5"/>
    </row>
    <row r="22" customFormat="false" ht="15" hidden="false" customHeight="false" outlineLevel="0" collapsed="false">
      <c r="A22" s="6" t="s">
        <v>56</v>
      </c>
      <c r="B22" s="7" t="s">
        <v>59</v>
      </c>
      <c r="C22" s="6" t="s">
        <v>15</v>
      </c>
      <c r="D22" s="6" t="s">
        <v>15</v>
      </c>
      <c r="E22" s="7" t="s">
        <v>60</v>
      </c>
      <c r="F22" s="4" t="n">
        <v>7771685</v>
      </c>
      <c r="G22" s="4" t="n">
        <v>13007950</v>
      </c>
      <c r="H22" s="4"/>
      <c r="I22" s="5"/>
    </row>
    <row r="23" customFormat="false" ht="23.85" hidden="false" customHeight="false" outlineLevel="0" collapsed="false">
      <c r="A23" s="2" t="s">
        <v>56</v>
      </c>
      <c r="B23" s="3" t="s">
        <v>61</v>
      </c>
      <c r="C23" s="2" t="s">
        <v>11</v>
      </c>
      <c r="D23" s="2" t="s">
        <v>11</v>
      </c>
      <c r="E23" s="3" t="s">
        <v>62</v>
      </c>
      <c r="F23" s="4" t="n">
        <v>7770857</v>
      </c>
      <c r="G23" s="4" t="n">
        <v>510160</v>
      </c>
      <c r="H23" s="4"/>
      <c r="I23" s="5"/>
    </row>
    <row r="24" customFormat="false" ht="23.85" hidden="false" customHeight="false" outlineLevel="0" collapsed="false">
      <c r="A24" s="2" t="s">
        <v>56</v>
      </c>
      <c r="B24" s="3" t="s">
        <v>63</v>
      </c>
      <c r="C24" s="2" t="s">
        <v>11</v>
      </c>
      <c r="D24" s="2" t="s">
        <v>11</v>
      </c>
      <c r="E24" s="3" t="s">
        <v>64</v>
      </c>
      <c r="F24" s="4" t="n">
        <v>7770856</v>
      </c>
      <c r="G24" s="4" t="n">
        <v>510150</v>
      </c>
      <c r="H24" s="4"/>
      <c r="I24" s="5"/>
    </row>
    <row r="25" customFormat="false" ht="15" hidden="false" customHeight="false" outlineLevel="0" collapsed="false">
      <c r="A25" s="6" t="s">
        <v>65</v>
      </c>
      <c r="B25" s="7" t="s">
        <v>66</v>
      </c>
      <c r="C25" s="6" t="s">
        <v>15</v>
      </c>
      <c r="D25" s="6" t="s">
        <v>15</v>
      </c>
      <c r="E25" s="7" t="s">
        <v>67</v>
      </c>
      <c r="F25" s="4" t="n">
        <v>7773836</v>
      </c>
      <c r="G25" s="4" t="n">
        <v>2049490900</v>
      </c>
      <c r="H25" s="4"/>
      <c r="I25" s="5"/>
    </row>
    <row r="26" customFormat="false" ht="15" hidden="false" customHeight="false" outlineLevel="0" collapsed="false">
      <c r="A26" s="10" t="s">
        <v>65</v>
      </c>
      <c r="B26" s="11" t="s">
        <v>68</v>
      </c>
      <c r="C26" s="10" t="s">
        <v>31</v>
      </c>
      <c r="D26" s="10" t="s">
        <v>31</v>
      </c>
      <c r="E26" s="11" t="s">
        <v>36</v>
      </c>
      <c r="F26" s="4" t="n">
        <v>7773749</v>
      </c>
      <c r="G26" s="4" t="n">
        <v>2048447800</v>
      </c>
      <c r="H26" s="4"/>
      <c r="I26" s="5"/>
    </row>
    <row r="27" customFormat="false" ht="23.85" hidden="false" customHeight="false" outlineLevel="0" collapsed="false">
      <c r="A27" s="2" t="s">
        <v>65</v>
      </c>
      <c r="B27" s="3" t="s">
        <v>69</v>
      </c>
      <c r="C27" s="2" t="s">
        <v>11</v>
      </c>
      <c r="D27" s="2" t="s">
        <v>11</v>
      </c>
      <c r="E27" s="3" t="s">
        <v>70</v>
      </c>
      <c r="F27" s="4" t="n">
        <v>7770868</v>
      </c>
      <c r="G27" s="4" t="n">
        <v>510480</v>
      </c>
      <c r="H27" s="4"/>
      <c r="I27" s="5"/>
    </row>
    <row r="28" customFormat="false" ht="23.85" hidden="false" customHeight="false" outlineLevel="0" collapsed="false">
      <c r="A28" s="2" t="s">
        <v>65</v>
      </c>
      <c r="B28" s="3" t="s">
        <v>71</v>
      </c>
      <c r="C28" s="2" t="s">
        <v>11</v>
      </c>
      <c r="D28" s="2" t="s">
        <v>11</v>
      </c>
      <c r="E28" s="3" t="s">
        <v>72</v>
      </c>
      <c r="F28" s="4" t="n">
        <v>7770866</v>
      </c>
      <c r="G28" s="4" t="n">
        <v>510430</v>
      </c>
      <c r="H28" s="4"/>
      <c r="I28" s="5"/>
    </row>
    <row r="29" customFormat="false" ht="15" hidden="false" customHeight="false" outlineLevel="0" collapsed="false">
      <c r="A29" s="6" t="s">
        <v>65</v>
      </c>
      <c r="B29" s="7" t="s">
        <v>73</v>
      </c>
      <c r="C29" s="6" t="s">
        <v>15</v>
      </c>
      <c r="D29" s="6" t="s">
        <v>15</v>
      </c>
      <c r="E29" s="7" t="s">
        <v>74</v>
      </c>
      <c r="F29" s="4" t="n">
        <v>7773528</v>
      </c>
      <c r="G29" s="4" t="n">
        <v>2045477700</v>
      </c>
      <c r="H29" s="4"/>
      <c r="I29" s="5"/>
    </row>
    <row r="30" customFormat="false" ht="15" hidden="false" customHeight="false" outlineLevel="0" collapsed="false">
      <c r="A30" s="6" t="s">
        <v>65</v>
      </c>
      <c r="B30" s="7" t="s">
        <v>75</v>
      </c>
      <c r="C30" s="6" t="s">
        <v>15</v>
      </c>
      <c r="D30" s="6" t="s">
        <v>15</v>
      </c>
      <c r="E30" s="7" t="s">
        <v>76</v>
      </c>
      <c r="F30" s="4" t="n">
        <v>7773517</v>
      </c>
      <c r="G30" s="4" t="n">
        <v>2045477500</v>
      </c>
      <c r="H30" s="4"/>
      <c r="I30" s="5"/>
    </row>
    <row r="31" customFormat="false" ht="15" hidden="false" customHeight="false" outlineLevel="0" collapsed="false">
      <c r="A31" s="6" t="s">
        <v>77</v>
      </c>
      <c r="B31" s="7" t="s">
        <v>78</v>
      </c>
      <c r="C31" s="6" t="s">
        <v>15</v>
      </c>
      <c r="D31" s="6" t="s">
        <v>15</v>
      </c>
      <c r="E31" s="7" t="s">
        <v>79</v>
      </c>
      <c r="F31" s="4" t="n">
        <v>7771229</v>
      </c>
      <c r="G31" s="4" t="n">
        <v>11007997</v>
      </c>
      <c r="H31" s="4"/>
      <c r="I31" s="5"/>
    </row>
    <row r="32" customFormat="false" ht="15" hidden="false" customHeight="false" outlineLevel="0" collapsed="false">
      <c r="A32" s="2" t="s">
        <v>77</v>
      </c>
      <c r="B32" s="3" t="s">
        <v>80</v>
      </c>
      <c r="C32" s="2" t="s">
        <v>11</v>
      </c>
      <c r="D32" s="2" t="s">
        <v>11</v>
      </c>
      <c r="E32" s="3" t="s">
        <v>81</v>
      </c>
      <c r="F32" s="4" t="n">
        <v>7770860</v>
      </c>
      <c r="G32" s="4" t="n">
        <v>510230</v>
      </c>
      <c r="H32" s="4"/>
      <c r="I32" s="5"/>
    </row>
    <row r="33" customFormat="false" ht="15" hidden="false" customHeight="false" outlineLevel="0" collapsed="false">
      <c r="A33" s="6" t="s">
        <v>77</v>
      </c>
      <c r="B33" s="7" t="s">
        <v>82</v>
      </c>
      <c r="C33" s="6" t="s">
        <v>15</v>
      </c>
      <c r="D33" s="6" t="s">
        <v>15</v>
      </c>
      <c r="E33" s="7" t="s">
        <v>83</v>
      </c>
      <c r="F33" s="4" t="n">
        <v>7771236</v>
      </c>
      <c r="G33" s="4" t="n">
        <v>11057100</v>
      </c>
      <c r="H33" s="4"/>
      <c r="I33" s="5"/>
    </row>
    <row r="34" customFormat="false" ht="23.85" hidden="false" customHeight="false" outlineLevel="0" collapsed="false">
      <c r="A34" s="10" t="s">
        <v>77</v>
      </c>
      <c r="B34" s="11" t="s">
        <v>84</v>
      </c>
      <c r="C34" s="10" t="s">
        <v>31</v>
      </c>
      <c r="D34" s="10" t="s">
        <v>31</v>
      </c>
      <c r="E34" s="11" t="s">
        <v>85</v>
      </c>
      <c r="F34" s="4" t="n">
        <v>7770780</v>
      </c>
      <c r="G34" s="4" t="n">
        <v>400280</v>
      </c>
      <c r="H34" s="4"/>
      <c r="I34" s="5"/>
    </row>
    <row r="35" customFormat="false" ht="15" hidden="false" customHeight="false" outlineLevel="0" collapsed="false">
      <c r="A35" s="8" t="s">
        <v>77</v>
      </c>
      <c r="B35" s="9" t="s">
        <v>86</v>
      </c>
      <c r="C35" s="8" t="s">
        <v>20</v>
      </c>
      <c r="D35" s="8" t="s">
        <v>20</v>
      </c>
      <c r="E35" s="9" t="s">
        <v>87</v>
      </c>
      <c r="F35" s="4" t="n">
        <v>7770012</v>
      </c>
      <c r="G35" s="4" t="n">
        <v>195</v>
      </c>
      <c r="H35" s="4"/>
      <c r="I35" s="5"/>
    </row>
    <row r="36" customFormat="false" ht="15" hidden="false" customHeight="false" outlineLevel="0" collapsed="false">
      <c r="A36" s="8" t="s">
        <v>77</v>
      </c>
      <c r="B36" s="9" t="s">
        <v>88</v>
      </c>
      <c r="C36" s="8" t="s">
        <v>20</v>
      </c>
      <c r="D36" s="8" t="s">
        <v>20</v>
      </c>
      <c r="E36" s="9" t="s">
        <v>58</v>
      </c>
      <c r="F36" s="4" t="n">
        <v>7770010</v>
      </c>
      <c r="G36" s="4" t="n">
        <v>193</v>
      </c>
      <c r="H36" s="4"/>
      <c r="I36" s="5"/>
    </row>
    <row r="37" customFormat="false" ht="23.85" hidden="false" customHeight="false" outlineLevel="0" collapsed="false">
      <c r="A37" s="2" t="s">
        <v>77</v>
      </c>
      <c r="B37" s="3" t="s">
        <v>89</v>
      </c>
      <c r="C37" s="2" t="s">
        <v>11</v>
      </c>
      <c r="D37" s="2" t="s">
        <v>11</v>
      </c>
      <c r="E37" s="3" t="s">
        <v>90</v>
      </c>
      <c r="F37" s="4" t="n">
        <v>7770851</v>
      </c>
      <c r="G37" s="4" t="n">
        <v>510070</v>
      </c>
      <c r="H37" s="4"/>
      <c r="I37" s="5"/>
    </row>
    <row r="38" customFormat="false" ht="23.85" hidden="false" customHeight="false" outlineLevel="0" collapsed="false">
      <c r="A38" s="2" t="s">
        <v>77</v>
      </c>
      <c r="B38" s="3" t="s">
        <v>91</v>
      </c>
      <c r="C38" s="2" t="s">
        <v>11</v>
      </c>
      <c r="D38" s="2" t="s">
        <v>11</v>
      </c>
      <c r="E38" s="3" t="s">
        <v>92</v>
      </c>
      <c r="F38" s="4" t="n">
        <v>7770850</v>
      </c>
      <c r="G38" s="4" t="n">
        <v>510040</v>
      </c>
      <c r="H38" s="4"/>
      <c r="I38" s="5"/>
    </row>
    <row r="39" customFormat="false" ht="23.85" hidden="false" customHeight="false" outlineLevel="0" collapsed="false">
      <c r="A39" s="2" t="s">
        <v>77</v>
      </c>
      <c r="B39" s="3" t="s">
        <v>93</v>
      </c>
      <c r="C39" s="2" t="s">
        <v>94</v>
      </c>
      <c r="D39" s="2" t="s">
        <v>94</v>
      </c>
      <c r="E39" s="3" t="s">
        <v>95</v>
      </c>
      <c r="F39" s="4" t="n">
        <v>7770858</v>
      </c>
      <c r="G39" s="4" t="n">
        <v>510200</v>
      </c>
      <c r="H39" s="4"/>
      <c r="I39" s="5"/>
    </row>
    <row r="40" customFormat="false" ht="23.85" hidden="false" customHeight="false" outlineLevel="0" collapsed="false">
      <c r="A40" s="2" t="s">
        <v>77</v>
      </c>
      <c r="B40" s="3" t="s">
        <v>96</v>
      </c>
      <c r="C40" s="2" t="s">
        <v>94</v>
      </c>
      <c r="D40" s="2" t="s">
        <v>94</v>
      </c>
      <c r="E40" s="3" t="s">
        <v>97</v>
      </c>
      <c r="F40" s="4" t="n">
        <v>7770861</v>
      </c>
      <c r="G40" s="4" t="n">
        <v>510300</v>
      </c>
      <c r="H40" s="4"/>
      <c r="I40" s="5"/>
    </row>
    <row r="41" customFormat="false" ht="15" hidden="false" customHeight="false" outlineLevel="0" collapsed="false">
      <c r="A41" s="10" t="s">
        <v>77</v>
      </c>
      <c r="B41" s="11" t="s">
        <v>98</v>
      </c>
      <c r="C41" s="10" t="s">
        <v>31</v>
      </c>
      <c r="D41" s="10" t="s">
        <v>31</v>
      </c>
      <c r="E41" s="11" t="s">
        <v>99</v>
      </c>
      <c r="F41" s="4" t="n">
        <v>7770748</v>
      </c>
      <c r="G41" s="4" t="n">
        <v>400001</v>
      </c>
      <c r="H41" s="4"/>
      <c r="I41" s="5"/>
    </row>
    <row r="42" customFormat="false" ht="23.85" hidden="false" customHeight="false" outlineLevel="0" collapsed="false">
      <c r="A42" s="10" t="s">
        <v>100</v>
      </c>
      <c r="B42" s="11" t="s">
        <v>101</v>
      </c>
      <c r="C42" s="10" t="s">
        <v>31</v>
      </c>
      <c r="D42" s="10" t="s">
        <v>31</v>
      </c>
      <c r="E42" s="11" t="s">
        <v>102</v>
      </c>
      <c r="F42" s="4" t="n">
        <v>7773199</v>
      </c>
      <c r="G42" s="4" t="n">
        <v>1046367500</v>
      </c>
      <c r="H42" s="4"/>
      <c r="I42" s="5"/>
    </row>
    <row r="43" customFormat="false" ht="15" hidden="false" customHeight="false" outlineLevel="0" collapsed="false">
      <c r="A43" s="8" t="s">
        <v>100</v>
      </c>
      <c r="B43" s="9" t="s">
        <v>103</v>
      </c>
      <c r="C43" s="8" t="s">
        <v>20</v>
      </c>
      <c r="D43" s="8" t="s">
        <v>20</v>
      </c>
      <c r="E43" s="9" t="s">
        <v>104</v>
      </c>
      <c r="F43" s="4" t="n">
        <v>7770008</v>
      </c>
      <c r="G43" s="4" t="n">
        <v>191</v>
      </c>
      <c r="H43" s="4"/>
      <c r="I43" s="5"/>
    </row>
    <row r="44" customFormat="false" ht="23.85" hidden="false" customHeight="false" outlineLevel="0" collapsed="false">
      <c r="A44" s="10" t="s">
        <v>105</v>
      </c>
      <c r="B44" s="11" t="s">
        <v>106</v>
      </c>
      <c r="C44" s="10" t="s">
        <v>31</v>
      </c>
      <c r="D44" s="10" t="s">
        <v>31</v>
      </c>
      <c r="E44" s="11" t="s">
        <v>107</v>
      </c>
      <c r="F44" s="4" t="n">
        <v>7772734</v>
      </c>
      <c r="G44" s="4" t="n">
        <v>1034457100</v>
      </c>
      <c r="H44" s="4"/>
      <c r="I44" s="5"/>
    </row>
    <row r="45" customFormat="false" ht="15" hidden="false" customHeight="false" outlineLevel="0" collapsed="false">
      <c r="A45" s="6" t="s">
        <v>105</v>
      </c>
      <c r="B45" s="7" t="s">
        <v>108</v>
      </c>
      <c r="C45" s="6" t="s">
        <v>15</v>
      </c>
      <c r="D45" s="6" t="s">
        <v>15</v>
      </c>
      <c r="E45" s="7" t="s">
        <v>109</v>
      </c>
      <c r="F45" s="4" t="n">
        <v>7770811</v>
      </c>
      <c r="G45" s="4" t="n">
        <v>400393</v>
      </c>
      <c r="H45" s="4"/>
      <c r="I45" s="5"/>
    </row>
    <row r="46" customFormat="false" ht="23.85" hidden="false" customHeight="false" outlineLevel="0" collapsed="false">
      <c r="A46" s="10" t="s">
        <v>105</v>
      </c>
      <c r="B46" s="11" t="s">
        <v>110</v>
      </c>
      <c r="C46" s="10" t="s">
        <v>31</v>
      </c>
      <c r="D46" s="10" t="s">
        <v>31</v>
      </c>
      <c r="E46" s="11" t="s">
        <v>111</v>
      </c>
      <c r="F46" s="4" t="n">
        <v>7773945</v>
      </c>
      <c r="G46" s="4" t="n">
        <v>400130</v>
      </c>
      <c r="H46" s="4"/>
      <c r="I46" s="5"/>
    </row>
    <row r="47" customFormat="false" ht="15" hidden="false" customHeight="false" outlineLevel="0" collapsed="false">
      <c r="A47" s="6" t="s">
        <v>105</v>
      </c>
      <c r="B47" s="7" t="s">
        <v>112</v>
      </c>
      <c r="C47" s="6" t="s">
        <v>15</v>
      </c>
      <c r="D47" s="6" t="s">
        <v>15</v>
      </c>
      <c r="E47" s="7" t="s">
        <v>113</v>
      </c>
      <c r="F47" s="4" t="n">
        <v>7770648</v>
      </c>
      <c r="G47" s="4" t="n">
        <v>290100</v>
      </c>
      <c r="H47" s="4"/>
      <c r="I47" s="5"/>
    </row>
    <row r="48" customFormat="false" ht="23.85" hidden="false" customHeight="false" outlineLevel="0" collapsed="false">
      <c r="A48" s="6" t="s">
        <v>114</v>
      </c>
      <c r="B48" s="7" t="s">
        <v>115</v>
      </c>
      <c r="C48" s="6" t="s">
        <v>15</v>
      </c>
      <c r="D48" s="6" t="s">
        <v>15</v>
      </c>
      <c r="E48" s="7" t="s">
        <v>116</v>
      </c>
      <c r="F48" s="4" t="n">
        <v>7771861</v>
      </c>
      <c r="G48" s="4" t="n">
        <v>15007930</v>
      </c>
      <c r="H48" s="4"/>
      <c r="I48" s="5"/>
    </row>
    <row r="49" customFormat="false" ht="15" hidden="false" customHeight="false" outlineLevel="0" collapsed="false">
      <c r="A49" s="8" t="s">
        <v>114</v>
      </c>
      <c r="B49" s="9" t="s">
        <v>117</v>
      </c>
      <c r="C49" s="8" t="s">
        <v>42</v>
      </c>
      <c r="D49" s="8" t="s">
        <v>42</v>
      </c>
      <c r="E49" s="9" t="s">
        <v>38</v>
      </c>
      <c r="F49" s="4" t="n">
        <v>7770006</v>
      </c>
      <c r="G49" s="4" t="n">
        <v>176</v>
      </c>
      <c r="H49" s="4"/>
      <c r="I49" s="5"/>
    </row>
    <row r="50" customFormat="false" ht="15" hidden="false" customHeight="false" outlineLevel="0" collapsed="false">
      <c r="A50" s="6" t="s">
        <v>114</v>
      </c>
      <c r="B50" s="7" t="s">
        <v>118</v>
      </c>
      <c r="C50" s="6" t="s">
        <v>15</v>
      </c>
      <c r="D50" s="6" t="s">
        <v>15</v>
      </c>
      <c r="E50" s="7" t="s">
        <v>119</v>
      </c>
      <c r="F50" s="4" t="n">
        <v>7771848</v>
      </c>
      <c r="G50" s="4" t="n">
        <v>15007800</v>
      </c>
      <c r="H50" s="4"/>
      <c r="I50" s="5"/>
    </row>
    <row r="51" customFormat="false" ht="15" hidden="false" customHeight="false" outlineLevel="0" collapsed="false">
      <c r="A51" s="6" t="s">
        <v>120</v>
      </c>
      <c r="B51" s="7" t="s">
        <v>121</v>
      </c>
      <c r="C51" s="6" t="s">
        <v>15</v>
      </c>
      <c r="D51" s="6" t="s">
        <v>15</v>
      </c>
      <c r="E51" s="7" t="s">
        <v>122</v>
      </c>
      <c r="F51" s="4" t="n">
        <v>7772085</v>
      </c>
      <c r="G51" s="4" t="n">
        <v>20017981</v>
      </c>
      <c r="H51" s="4"/>
      <c r="I51" s="5"/>
    </row>
    <row r="52" customFormat="false" ht="15" hidden="false" customHeight="false" outlineLevel="0" collapsed="false">
      <c r="A52" s="6" t="s">
        <v>120</v>
      </c>
      <c r="B52" s="7" t="s">
        <v>123</v>
      </c>
      <c r="C52" s="6" t="s">
        <v>15</v>
      </c>
      <c r="D52" s="6" t="s">
        <v>15</v>
      </c>
      <c r="E52" s="7" t="s">
        <v>124</v>
      </c>
      <c r="F52" s="4" t="n">
        <v>7772011</v>
      </c>
      <c r="G52" s="4" t="n">
        <v>20007810</v>
      </c>
      <c r="H52" s="4"/>
      <c r="I52" s="5"/>
    </row>
    <row r="53" customFormat="false" ht="15" hidden="false" customHeight="false" outlineLevel="0" collapsed="false">
      <c r="A53" s="6" t="s">
        <v>120</v>
      </c>
      <c r="B53" s="7" t="s">
        <v>125</v>
      </c>
      <c r="C53" s="6" t="s">
        <v>15</v>
      </c>
      <c r="D53" s="6" t="s">
        <v>15</v>
      </c>
      <c r="E53" s="7" t="s">
        <v>126</v>
      </c>
      <c r="F53" s="4" t="n">
        <v>7771964</v>
      </c>
      <c r="G53" s="4" t="n">
        <v>20007330</v>
      </c>
      <c r="H53" s="4"/>
      <c r="I53" s="5"/>
    </row>
    <row r="54" customFormat="false" ht="15" hidden="false" customHeight="false" outlineLevel="0" collapsed="false">
      <c r="A54" s="8" t="s">
        <v>120</v>
      </c>
      <c r="B54" s="9" t="s">
        <v>127</v>
      </c>
      <c r="C54" s="8" t="s">
        <v>42</v>
      </c>
      <c r="D54" s="8" t="s">
        <v>42</v>
      </c>
      <c r="E54" s="9" t="s">
        <v>87</v>
      </c>
      <c r="F54" s="4" t="n">
        <v>7770005</v>
      </c>
      <c r="G54" s="4" t="n">
        <v>175</v>
      </c>
      <c r="H54" s="4"/>
      <c r="I54" s="5"/>
    </row>
    <row r="55" customFormat="false" ht="23.85" hidden="false" customHeight="false" outlineLevel="0" collapsed="false">
      <c r="A55" s="2" t="s">
        <v>120</v>
      </c>
      <c r="B55" s="3" t="s">
        <v>128</v>
      </c>
      <c r="C55" s="2" t="s">
        <v>94</v>
      </c>
      <c r="D55" s="2" t="s">
        <v>94</v>
      </c>
      <c r="E55" s="3" t="s">
        <v>129</v>
      </c>
      <c r="F55" s="4" t="n">
        <v>7770855</v>
      </c>
      <c r="G55" s="4" t="n">
        <v>510120</v>
      </c>
      <c r="H55" s="4"/>
      <c r="I55" s="5"/>
    </row>
    <row r="56" customFormat="false" ht="15" hidden="false" customHeight="false" outlineLevel="0" collapsed="false">
      <c r="A56" s="6" t="s">
        <v>130</v>
      </c>
      <c r="B56" s="7" t="s">
        <v>131</v>
      </c>
      <c r="C56" s="6" t="s">
        <v>15</v>
      </c>
      <c r="D56" s="6" t="s">
        <v>15</v>
      </c>
      <c r="E56" s="7" t="s">
        <v>132</v>
      </c>
      <c r="F56" s="4" t="n">
        <v>7773423</v>
      </c>
      <c r="G56" s="4" t="n">
        <v>1051577600</v>
      </c>
      <c r="H56" s="4"/>
      <c r="I56" s="5"/>
    </row>
    <row r="57" customFormat="false" ht="23.85" hidden="false" customHeight="false" outlineLevel="0" collapsed="false">
      <c r="A57" s="10" t="s">
        <v>130</v>
      </c>
      <c r="B57" s="11" t="s">
        <v>133</v>
      </c>
      <c r="C57" s="10" t="s">
        <v>31</v>
      </c>
      <c r="D57" s="10" t="s">
        <v>31</v>
      </c>
      <c r="E57" s="11" t="s">
        <v>85</v>
      </c>
      <c r="F57" s="4" t="n">
        <v>7773424</v>
      </c>
      <c r="G57" s="4" t="n">
        <v>1051587800</v>
      </c>
      <c r="H57" s="4"/>
      <c r="I57" s="5"/>
    </row>
    <row r="58" customFormat="false" ht="23.85" hidden="false" customHeight="false" outlineLevel="0" collapsed="false">
      <c r="A58" s="2" t="s">
        <v>130</v>
      </c>
      <c r="B58" s="3" t="s">
        <v>134</v>
      </c>
      <c r="C58" s="2" t="s">
        <v>11</v>
      </c>
      <c r="D58" s="2" t="s">
        <v>11</v>
      </c>
      <c r="E58" s="3" t="s">
        <v>135</v>
      </c>
      <c r="F58" s="4" t="n">
        <v>7770862</v>
      </c>
      <c r="G58" s="4" t="n">
        <v>510310</v>
      </c>
      <c r="H58" s="4"/>
      <c r="I58" s="5"/>
    </row>
    <row r="59" customFormat="false" ht="15" hidden="false" customHeight="false" outlineLevel="0" collapsed="false">
      <c r="A59" s="10" t="s">
        <v>136</v>
      </c>
      <c r="B59" s="11" t="s">
        <v>137</v>
      </c>
      <c r="C59" s="10" t="s">
        <v>31</v>
      </c>
      <c r="D59" s="10" t="s">
        <v>31</v>
      </c>
      <c r="E59" s="11" t="s">
        <v>138</v>
      </c>
      <c r="F59" s="4" t="n">
        <v>7770757</v>
      </c>
      <c r="G59" s="4" t="n">
        <v>400072</v>
      </c>
      <c r="H59" s="4"/>
      <c r="I59" s="5"/>
    </row>
    <row r="60" customFormat="false" ht="23.85" hidden="false" customHeight="false" outlineLevel="0" collapsed="false">
      <c r="A60" s="2" t="s">
        <v>136</v>
      </c>
      <c r="B60" s="3" t="s">
        <v>139</v>
      </c>
      <c r="C60" s="2" t="s">
        <v>11</v>
      </c>
      <c r="D60" s="2" t="s">
        <v>11</v>
      </c>
      <c r="E60" s="3" t="s">
        <v>140</v>
      </c>
      <c r="F60" s="4" t="n">
        <v>7770859</v>
      </c>
      <c r="G60" s="4" t="n">
        <v>510220</v>
      </c>
      <c r="H60" s="4"/>
      <c r="I60" s="5"/>
    </row>
    <row r="61" customFormat="false" ht="15" hidden="false" customHeight="false" outlineLevel="0" collapsed="false">
      <c r="A61" s="8" t="s">
        <v>136</v>
      </c>
      <c r="B61" s="9" t="s">
        <v>141</v>
      </c>
      <c r="C61" s="8" t="s">
        <v>42</v>
      </c>
      <c r="D61" s="8" t="s">
        <v>42</v>
      </c>
      <c r="E61" s="9" t="s">
        <v>21</v>
      </c>
      <c r="F61" s="4" t="n">
        <v>7770004</v>
      </c>
      <c r="G61" s="4" t="n">
        <v>174</v>
      </c>
      <c r="H61" s="4"/>
      <c r="I61" s="5"/>
    </row>
    <row r="62" customFormat="false" ht="23.85" hidden="false" customHeight="false" outlineLevel="0" collapsed="false">
      <c r="A62" s="10" t="s">
        <v>142</v>
      </c>
      <c r="B62" s="11" t="s">
        <v>143</v>
      </c>
      <c r="C62" s="10" t="s">
        <v>31</v>
      </c>
      <c r="D62" s="10" t="s">
        <v>31</v>
      </c>
      <c r="E62" s="11" t="s">
        <v>107</v>
      </c>
      <c r="F62" s="4" t="n">
        <v>7771751</v>
      </c>
      <c r="G62" s="4" t="n">
        <v>14007930</v>
      </c>
      <c r="H62" s="4"/>
      <c r="I62" s="5"/>
    </row>
    <row r="63" customFormat="false" ht="15" hidden="false" customHeight="false" outlineLevel="0" collapsed="false">
      <c r="A63" s="10" t="s">
        <v>142</v>
      </c>
      <c r="B63" s="11" t="s">
        <v>144</v>
      </c>
      <c r="C63" s="10" t="s">
        <v>31</v>
      </c>
      <c r="D63" s="10" t="s">
        <v>31</v>
      </c>
      <c r="E63" s="11" t="s">
        <v>145</v>
      </c>
      <c r="F63" s="4" t="n">
        <v>7770000</v>
      </c>
      <c r="G63" s="4" t="n">
        <v>114</v>
      </c>
      <c r="H63" s="4"/>
      <c r="I63" s="5"/>
    </row>
    <row r="64" customFormat="false" ht="15" hidden="false" customHeight="false" outlineLevel="0" collapsed="false">
      <c r="A64" s="10" t="s">
        <v>142</v>
      </c>
      <c r="B64" s="11" t="s">
        <v>146</v>
      </c>
      <c r="C64" s="10" t="s">
        <v>31</v>
      </c>
      <c r="D64" s="10" t="s">
        <v>31</v>
      </c>
      <c r="E64" s="11" t="s">
        <v>36</v>
      </c>
      <c r="F64" s="4" t="n">
        <v>7771734</v>
      </c>
      <c r="G64" s="4" t="n">
        <v>14007630</v>
      </c>
      <c r="H64" s="4"/>
      <c r="I64" s="5"/>
    </row>
    <row r="65" customFormat="false" ht="15" hidden="false" customHeight="false" outlineLevel="0" collapsed="false">
      <c r="A65" s="6" t="s">
        <v>142</v>
      </c>
      <c r="B65" s="7" t="s">
        <v>147</v>
      </c>
      <c r="C65" s="6" t="s">
        <v>15</v>
      </c>
      <c r="D65" s="6" t="s">
        <v>15</v>
      </c>
      <c r="E65" s="7" t="s">
        <v>148</v>
      </c>
      <c r="F65" s="4" t="n">
        <v>7771752</v>
      </c>
      <c r="G65" s="4" t="n">
        <v>14007940</v>
      </c>
      <c r="H65" s="4"/>
      <c r="I65" s="5"/>
    </row>
    <row r="66" customFormat="false" ht="23.85" hidden="false" customHeight="false" outlineLevel="0" collapsed="false">
      <c r="A66" s="2" t="s">
        <v>149</v>
      </c>
      <c r="B66" s="3" t="s">
        <v>150</v>
      </c>
      <c r="C66" s="2" t="s">
        <v>11</v>
      </c>
      <c r="D66" s="2" t="s">
        <v>11</v>
      </c>
      <c r="E66" s="3" t="s">
        <v>151</v>
      </c>
      <c r="F66" s="4" t="n">
        <v>7770869</v>
      </c>
      <c r="G66" s="4" t="n">
        <v>510550</v>
      </c>
      <c r="H66" s="4"/>
      <c r="I66" s="5"/>
    </row>
    <row r="67" customFormat="false" ht="23.85" hidden="false" customHeight="false" outlineLevel="0" collapsed="false">
      <c r="A67" s="2" t="s">
        <v>149</v>
      </c>
      <c r="B67" s="3" t="s">
        <v>152</v>
      </c>
      <c r="C67" s="2" t="s">
        <v>11</v>
      </c>
      <c r="D67" s="2" t="s">
        <v>11</v>
      </c>
      <c r="E67" s="3" t="s">
        <v>153</v>
      </c>
      <c r="F67" s="4" t="n">
        <v>7770871</v>
      </c>
      <c r="G67" s="4" t="n">
        <v>510600</v>
      </c>
      <c r="H67" s="4"/>
      <c r="I67" s="5"/>
    </row>
    <row r="68" customFormat="false" ht="23.85" hidden="false" customHeight="false" outlineLevel="0" collapsed="false">
      <c r="A68" s="2" t="s">
        <v>149</v>
      </c>
      <c r="B68" s="3" t="s">
        <v>154</v>
      </c>
      <c r="C68" s="2" t="s">
        <v>11</v>
      </c>
      <c r="D68" s="2" t="s">
        <v>11</v>
      </c>
      <c r="E68" s="3" t="s">
        <v>155</v>
      </c>
      <c r="F68" s="4" t="n">
        <v>7770872</v>
      </c>
      <c r="G68" s="4" t="n">
        <v>510620</v>
      </c>
      <c r="H68" s="4"/>
      <c r="I68" s="5"/>
    </row>
    <row r="69" customFormat="false" ht="23.85" hidden="false" customHeight="false" outlineLevel="0" collapsed="false">
      <c r="A69" s="2" t="s">
        <v>149</v>
      </c>
      <c r="B69" s="3" t="s">
        <v>156</v>
      </c>
      <c r="C69" s="2" t="s">
        <v>11</v>
      </c>
      <c r="D69" s="2" t="s">
        <v>11</v>
      </c>
      <c r="E69" s="3" t="s">
        <v>157</v>
      </c>
      <c r="F69" s="4" t="n">
        <v>7770874</v>
      </c>
      <c r="G69" s="4" t="n">
        <v>510640</v>
      </c>
      <c r="H69" s="4"/>
      <c r="I69" s="5"/>
    </row>
    <row r="70" customFormat="false" ht="23.85" hidden="false" customHeight="false" outlineLevel="0" collapsed="false">
      <c r="A70" s="2" t="s">
        <v>158</v>
      </c>
      <c r="B70" s="3" t="s">
        <v>159</v>
      </c>
      <c r="C70" s="2" t="s">
        <v>11</v>
      </c>
      <c r="D70" s="2" t="s">
        <v>11</v>
      </c>
      <c r="E70" s="3" t="s">
        <v>160</v>
      </c>
      <c r="F70" s="4" t="n">
        <v>7770867</v>
      </c>
      <c r="G70" s="4" t="n">
        <v>510460</v>
      </c>
      <c r="H70" s="4"/>
      <c r="I70" s="5"/>
    </row>
    <row r="71" customFormat="false" ht="15" hidden="false" customHeight="false" outlineLevel="0" collapsed="false">
      <c r="A71" s="8" t="s">
        <v>161</v>
      </c>
      <c r="B71" s="9" t="s">
        <v>162</v>
      </c>
      <c r="C71" s="8" t="s">
        <v>20</v>
      </c>
      <c r="D71" s="8" t="s">
        <v>20</v>
      </c>
      <c r="E71" s="9" t="s">
        <v>104</v>
      </c>
      <c r="F71" s="4" t="n">
        <v>7770001</v>
      </c>
      <c r="G71" s="4" t="n">
        <v>171</v>
      </c>
      <c r="H71" s="4"/>
      <c r="I71" s="5"/>
    </row>
    <row r="72" customFormat="false" ht="23.85" hidden="false" customHeight="false" outlineLevel="0" collapsed="false">
      <c r="A72" s="2" t="s">
        <v>161</v>
      </c>
      <c r="B72" s="3" t="s">
        <v>163</v>
      </c>
      <c r="C72" s="2" t="s">
        <v>94</v>
      </c>
      <c r="D72" s="2" t="s">
        <v>94</v>
      </c>
      <c r="E72" s="3" t="s">
        <v>164</v>
      </c>
      <c r="F72" s="4" t="n">
        <v>7770014</v>
      </c>
      <c r="G72" s="4" t="n">
        <v>197</v>
      </c>
      <c r="H72" s="4"/>
      <c r="I72" s="5"/>
    </row>
    <row r="73" customFormat="false" ht="23.85" hidden="false" customHeight="false" outlineLevel="0" collapsed="false">
      <c r="A73" s="2" t="s">
        <v>161</v>
      </c>
      <c r="B73" s="3" t="s">
        <v>165</v>
      </c>
      <c r="C73" s="2" t="s">
        <v>11</v>
      </c>
      <c r="D73" s="2" t="s">
        <v>11</v>
      </c>
      <c r="E73" s="3" t="s">
        <v>166</v>
      </c>
      <c r="F73" s="4" t="n">
        <v>7770849</v>
      </c>
      <c r="G73" s="4" t="n">
        <v>510010</v>
      </c>
      <c r="H73" s="4"/>
      <c r="I73" s="5"/>
    </row>
    <row r="74" customFormat="false" ht="15" hidden="false" customHeight="false" outlineLevel="0" collapsed="false">
      <c r="A74" s="10" t="s">
        <v>161</v>
      </c>
      <c r="B74" s="11" t="s">
        <v>167</v>
      </c>
      <c r="C74" s="10" t="s">
        <v>31</v>
      </c>
      <c r="D74" s="10" t="s">
        <v>31</v>
      </c>
      <c r="E74" s="11" t="s">
        <v>168</v>
      </c>
      <c r="F74" s="4" t="n">
        <v>7771061</v>
      </c>
      <c r="G74" s="4" t="n">
        <v>10007500</v>
      </c>
      <c r="H74" s="4"/>
      <c r="I74" s="5"/>
    </row>
  </sheetData>
  <autoFilter ref="A1:I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2" t="s">
        <v>2</v>
      </c>
      <c r="B1" s="12" t="s">
        <v>169</v>
      </c>
    </row>
    <row r="2" customFormat="false" ht="15" hidden="false" customHeight="false" outlineLevel="0" collapsed="false">
      <c r="A2" s="13" t="s">
        <v>42</v>
      </c>
      <c r="B2" s="13" t="n">
        <f aca="false">COUNTIF('Big-Ticket Audit'!C2:C74,"Boss+GreatRune")</f>
        <v>4</v>
      </c>
    </row>
    <row r="3" customFormat="false" ht="15" hidden="false" customHeight="false" outlineLevel="0" collapsed="false">
      <c r="A3" s="13" t="s">
        <v>11</v>
      </c>
      <c r="B3" s="13" t="n">
        <f aca="false">COUNTIF('Big-Ticket Audit'!C2:C74,"Boss+Remembrance")</f>
        <v>21</v>
      </c>
    </row>
    <row r="4" customFormat="false" ht="15" hidden="false" customHeight="false" outlineLevel="0" collapsed="false">
      <c r="A4" s="13" t="s">
        <v>20</v>
      </c>
      <c r="B4" s="13" t="n">
        <f aca="false">COUNTIF('Big-Ticket Audit'!C2:C74,"GreatRune")</f>
        <v>8</v>
      </c>
    </row>
    <row r="5" customFormat="false" ht="15" hidden="false" customHeight="false" outlineLevel="0" collapsed="false">
      <c r="A5" s="13" t="s">
        <v>31</v>
      </c>
      <c r="B5" s="13" t="n">
        <f aca="false">COUNTIF('Big-Ticket Audit'!C2:C74,"KeyItem")</f>
        <v>14</v>
      </c>
    </row>
    <row r="6" customFormat="false" ht="15" hidden="false" customHeight="false" outlineLevel="0" collapsed="false">
      <c r="A6" s="13" t="s">
        <v>15</v>
      </c>
      <c r="B6" s="13" t="n">
        <f aca="false">COUNTIF('Big-Ticket Audit'!C2:C74,"Legendary")</f>
        <v>22</v>
      </c>
    </row>
    <row r="7" customFormat="false" ht="15" hidden="false" customHeight="false" outlineLevel="0" collapsed="false">
      <c r="A7" s="13" t="s">
        <v>94</v>
      </c>
      <c r="B7" s="13" t="n">
        <f aca="false">COUNTIF('Big-Ticket Audit'!C2:C74,"Remembrance")</f>
        <v>4</v>
      </c>
    </row>
    <row r="8" customFormat="false" ht="15" hidden="false" customHeight="false" outlineLevel="0" collapsed="false">
      <c r="A8" s="14" t="s">
        <v>170</v>
      </c>
      <c r="B8" s="14" t="n">
        <f aca="false">SUBTOTAL(103,'Big-Ticket Audit'!A2:A74)</f>
        <v>73</v>
      </c>
    </row>
    <row r="10" customFormat="false" ht="15" hidden="false" customHeight="false" outlineLevel="0" collapsed="false">
      <c r="A10" s="15" t="s">
        <v>171</v>
      </c>
      <c r="B10" s="1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2026-07-08T13:52:45Z</dcterms:created>
  <dc:creator>openpyxl</dc:creator>
  <dc:description/>
  <dc:language>en-US</dc:language>
  <cp:lastModifiedBy/>
  <dcterms:modified xsi:type="dcterms:W3CDTF">2026-07-08T13:52:45Z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